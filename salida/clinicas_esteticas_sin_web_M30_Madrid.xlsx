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sin web" sheetId="1" state="visible" r:id="rId1"/>
    <sheet name="Descartados (sí tienen web)" sheetId="2" state="visible" r:id="rId2"/>
    <sheet name="Web muy básica (bonus)" sheetId="3" state="visible" r:id="rId3"/>
    <sheet name="Metodología y avisos" sheetId="4" state="visible" r:id="rId4"/>
  </sheets>
  <definedNames>
    <definedName name="_xlnm._FilterDatabase" localSheetId="0" hidden="1">'Leads sin web'!$A$1:$N$55</definedName>
    <definedName name="_xlnm._FilterDatabase" localSheetId="1" hidden="1">'Descartados (sí tienen web)'!$A$1:$E$92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9C6500"/>
      <sz val="10"/>
    </font>
    <font>
      <name val="Arial"/>
      <b val="1"/>
      <sz val="11"/>
    </font>
    <font>
      <name val="Arial"/>
      <b val="1"/>
      <sz val="10"/>
    </font>
    <font>
      <name val="Arial"/>
      <i val="1"/>
      <sz val="9"/>
    </font>
    <font>
      <name val="Arial"/>
      <b val="1"/>
      <color rgb="001F3864"/>
      <sz val="14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C00000"/>
      <sz val="11"/>
    </font>
    <font>
      <name val="Arial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FFF2CC"/>
      </patternFill>
    </fill>
    <fill>
      <patternFill patternType="solid">
        <fgColor rgb="007F6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Claude</author>
  </authors>
  <commentList>
    <comment ref="D57" authorId="0" shapeId="0">
      <text>
        <t>Los recuentos son fórmulas vivas: si borras o añades filas en la tabla, se recalculan solos.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46" customWidth="1" min="4" max="4"/>
    <col width="18" customWidth="1" min="5" max="5"/>
    <col width="18" customWidth="1" min="6" max="6"/>
    <col width="14" customWidth="1" min="7" max="7"/>
    <col width="12" customWidth="1" min="8" max="8"/>
    <col width="40" customWidth="1" min="9" max="9"/>
    <col width="11" customWidth="1" min="10" max="10"/>
    <col width="11" customWidth="1" min="11" max="11"/>
    <col width="11" customWidth="1" min="12" max="12"/>
    <col width="14" customWidth="1" min="13" max="13"/>
    <col width="52" customWidth="1" min="14" max="14"/>
  </cols>
  <sheetData>
    <row r="1" ht="32" customHeight="1">
      <c r="A1" s="1" t="inlineStr">
        <is>
          <t>Nº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Dirección</t>
        </is>
      </c>
      <c r="E1" s="1" t="inlineStr">
        <is>
          <t>Barrio</t>
        </is>
      </c>
      <c r="F1" s="1" t="inlineStr">
        <is>
          <t>Distrito</t>
        </is>
      </c>
      <c r="G1" s="1" t="inlineStr">
        <is>
          <t>Teléfono</t>
        </is>
      </c>
      <c r="H1" s="1" t="inlineStr">
        <is>
          <t>¿Tiene web propia?</t>
        </is>
      </c>
      <c r="I1" s="1" t="inlineStr">
        <is>
          <t>Dónde aparece online</t>
        </is>
      </c>
      <c r="J1" s="1" t="inlineStr">
        <is>
          <t>Valoración</t>
        </is>
      </c>
      <c r="K1" s="1" t="inlineStr">
        <is>
          <t>Nº reseñas</t>
        </is>
      </c>
      <c r="L1" s="1" t="inlineStr">
        <is>
          <t>Dentro M-30</t>
        </is>
      </c>
      <c r="M1" s="1" t="inlineStr">
        <is>
          <t>Fiabilidad del dato</t>
        </is>
      </c>
      <c r="N1" s="1" t="inlineStr">
        <is>
          <t>Notas</t>
        </is>
      </c>
    </row>
    <row r="2">
      <c r="A2" s="2" t="n">
        <v>1</v>
      </c>
      <c r="B2" s="3" t="inlineStr">
        <is>
          <t>Concha Toribio Centro de Estética</t>
        </is>
      </c>
      <c r="C2" s="3" t="inlineStr">
        <is>
          <t>Estética</t>
        </is>
      </c>
      <c r="D2" s="3" t="inlineStr">
        <is>
          <t>Calle de Ibiza, 36</t>
        </is>
      </c>
      <c r="E2" s="3" t="inlineStr">
        <is>
          <t>Ibiza</t>
        </is>
      </c>
      <c r="F2" s="3" t="inlineStr">
        <is>
          <t>Retiro</t>
        </is>
      </c>
      <c r="G2" s="3" t="inlineStr"/>
      <c r="H2" s="4" t="inlineStr">
        <is>
          <t>NO</t>
        </is>
      </c>
      <c r="I2" s="3" t="inlineStr">
        <is>
          <t>Uala/Treatwell, infoisinfo, bellahora</t>
        </is>
      </c>
      <c r="J2" s="3" t="inlineStr"/>
      <c r="K2" s="3" t="inlineStr"/>
      <c r="L2" s="2" t="inlineStr">
        <is>
          <t>Sí</t>
        </is>
      </c>
      <c r="M2" s="2" t="inlineStr">
        <is>
          <t>Alta</t>
        </is>
      </c>
      <c r="N2" s="3" t="inlineStr">
        <is>
          <t>Micropigmentación y estética, +35 años</t>
        </is>
      </c>
    </row>
    <row r="3">
      <c r="A3" s="5" t="n">
        <v>2</v>
      </c>
      <c r="B3" s="6" t="inlineStr">
        <is>
          <t>Centro de Estética y Peluquería Begoña Bordallo</t>
        </is>
      </c>
      <c r="C3" s="6" t="inlineStr">
        <is>
          <t>Estética</t>
        </is>
      </c>
      <c r="D3" s="6" t="inlineStr">
        <is>
          <t>Calle de Narciso Serra, 5</t>
        </is>
      </c>
      <c r="E3" s="6" t="inlineStr">
        <is>
          <t>Pacífico</t>
        </is>
      </c>
      <c r="F3" s="6" t="inlineStr">
        <is>
          <t>Retiro</t>
        </is>
      </c>
      <c r="G3" s="6" t="inlineStr">
        <is>
          <t>915130011</t>
        </is>
      </c>
      <c r="H3" s="7" t="inlineStr">
        <is>
          <t>NO</t>
        </is>
      </c>
      <c r="I3" s="6" t="inlineStr">
        <is>
          <t>Fresha, Uala, Facebook, qdq</t>
        </is>
      </c>
      <c r="J3" s="6" t="inlineStr"/>
      <c r="K3" s="6" t="inlineStr"/>
      <c r="L3" s="5" t="inlineStr">
        <is>
          <t>Sí</t>
        </is>
      </c>
      <c r="M3" s="5" t="inlineStr">
        <is>
          <t>Alta</t>
        </is>
      </c>
      <c r="N3" s="6" t="inlineStr">
        <is>
          <t>Tiene Facebook, no web</t>
        </is>
      </c>
    </row>
    <row r="4">
      <c r="A4" s="2" t="n">
        <v>3</v>
      </c>
      <c r="B4" s="3" t="inlineStr">
        <is>
          <t>Div@ Peluquería y Estética</t>
        </is>
      </c>
      <c r="C4" s="3" t="inlineStr">
        <is>
          <t>Estética</t>
        </is>
      </c>
      <c r="D4" s="3" t="inlineStr">
        <is>
          <t>Calle de Donoso Cortés, 41, local 2</t>
        </is>
      </c>
      <c r="E4" s="3" t="inlineStr">
        <is>
          <t>Arapiles</t>
        </is>
      </c>
      <c r="F4" s="3" t="inlineStr">
        <is>
          <t>Chamberí</t>
        </is>
      </c>
      <c r="G4" s="3" t="inlineStr">
        <is>
          <t>919474175</t>
        </is>
      </c>
      <c r="H4" s="4" t="inlineStr">
        <is>
          <t>NO</t>
        </is>
      </c>
      <c r="I4" s="3" t="inlineStr">
        <is>
          <t>Fresha, Treatwell, lomejordelbarrio</t>
        </is>
      </c>
      <c r="J4" s="3" t="inlineStr"/>
      <c r="K4" s="3" t="inlineStr"/>
      <c r="L4" s="2" t="inlineStr">
        <is>
          <t>Sí</t>
        </is>
      </c>
      <c r="M4" s="2" t="inlineStr">
        <is>
          <t>Alta</t>
        </is>
      </c>
      <c r="N4" s="3" t="inlineStr">
        <is>
          <t>Local amplio y reformado</t>
        </is>
      </c>
    </row>
    <row r="5">
      <c r="A5" s="5" t="n">
        <v>4</v>
      </c>
      <c r="B5" s="6" t="inlineStr">
        <is>
          <t>Bel Homme Madrid — Estética &amp; Masajes</t>
        </is>
      </c>
      <c r="C5" s="6" t="inlineStr">
        <is>
          <t>Estética</t>
        </is>
      </c>
      <c r="D5" s="6" t="inlineStr">
        <is>
          <t>Calle del General Arrando, 4, bajo dcha</t>
        </is>
      </c>
      <c r="E5" s="6" t="inlineStr">
        <is>
          <t>Trafalgar</t>
        </is>
      </c>
      <c r="F5" s="6" t="inlineStr">
        <is>
          <t>Chamberí</t>
        </is>
      </c>
      <c r="G5" s="6" t="inlineStr">
        <is>
          <t>673669975</t>
        </is>
      </c>
      <c r="H5" s="7" t="inlineStr">
        <is>
          <t>NO</t>
        </is>
      </c>
      <c r="I5" s="6" t="inlineStr">
        <is>
          <t>Fresha, Treatwell, Instagram, TikTok</t>
        </is>
      </c>
      <c r="J5" s="6" t="inlineStr"/>
      <c r="K5" s="6" t="inlineStr"/>
      <c r="L5" s="5" t="inlineStr">
        <is>
          <t>Sí</t>
        </is>
      </c>
      <c r="M5" s="5" t="inlineStr">
        <is>
          <t>Alta</t>
        </is>
      </c>
      <c r="N5" s="6" t="inlineStr">
        <is>
          <t>Premio Grandes Talentos 2025; muy activo en RRSS</t>
        </is>
      </c>
    </row>
    <row r="6">
      <c r="A6" s="2" t="n">
        <v>5</v>
      </c>
      <c r="B6" s="3" t="inlineStr">
        <is>
          <t>Bella y Pizpireta</t>
        </is>
      </c>
      <c r="C6" s="3" t="inlineStr">
        <is>
          <t>Estética</t>
        </is>
      </c>
      <c r="D6" s="3" t="inlineStr">
        <is>
          <t>Calle de Alonso Cano, 77, local 2</t>
        </is>
      </c>
      <c r="E6" s="3" t="inlineStr">
        <is>
          <t>Ríos Rosas</t>
        </is>
      </c>
      <c r="F6" s="3" t="inlineStr">
        <is>
          <t>Chamberí</t>
        </is>
      </c>
      <c r="G6" s="3" t="inlineStr"/>
      <c r="H6" s="4" t="inlineStr">
        <is>
          <t>NO</t>
        </is>
      </c>
      <c r="I6" s="3" t="inlineStr">
        <is>
          <t>Treatwell, Cylex, Páginas Amarillas, Foursquare</t>
        </is>
      </c>
      <c r="J6" s="3" t="inlineStr"/>
      <c r="K6" s="3" t="inlineStr"/>
      <c r="L6" s="2" t="inlineStr">
        <is>
          <t>Sí</t>
        </is>
      </c>
      <c r="M6" s="8" t="inlineStr">
        <is>
          <t>Media</t>
        </is>
      </c>
      <c r="N6" s="3" t="inlineStr">
        <is>
          <t>Segunda dirección citada: C/ Ríos Rosas 51 — confirmar</t>
        </is>
      </c>
    </row>
    <row r="7">
      <c r="A7" s="5" t="n">
        <v>6</v>
      </c>
      <c r="B7" s="6" t="inlineStr">
        <is>
          <t>Deliart — Peluquería y Estética</t>
        </is>
      </c>
      <c r="C7" s="6" t="inlineStr">
        <is>
          <t>Estética</t>
        </is>
      </c>
      <c r="D7" s="6" t="inlineStr">
        <is>
          <t>Calle del Doctor Fourquet, 35</t>
        </is>
      </c>
      <c r="E7" s="6" t="inlineStr">
        <is>
          <t>Lavapiés</t>
        </is>
      </c>
      <c r="F7" s="6" t="inlineStr">
        <is>
          <t>Centro</t>
        </is>
      </c>
      <c r="G7" s="6" t="inlineStr">
        <is>
          <t>914677180</t>
        </is>
      </c>
      <c r="H7" s="7" t="inlineStr">
        <is>
          <t>NO</t>
        </is>
      </c>
      <c r="I7" s="6" t="inlineStr">
        <is>
          <t>Treatwell, Fresha, enLavapiés, 11870</t>
        </is>
      </c>
      <c r="J7" s="6" t="inlineStr"/>
      <c r="K7" s="6" t="inlineStr"/>
      <c r="L7" s="5" t="inlineStr">
        <is>
          <t>Sí</t>
        </is>
      </c>
      <c r="M7" s="5" t="inlineStr">
        <is>
          <t>Alta</t>
        </is>
      </c>
      <c r="N7" s="6" t="inlineStr">
        <is>
          <t>20 años en el barrio</t>
        </is>
      </c>
    </row>
    <row r="8">
      <c r="A8" s="2" t="n">
        <v>7</v>
      </c>
      <c r="B8" s="3" t="inlineStr">
        <is>
          <t>Bella Salón de Estética</t>
        </is>
      </c>
      <c r="C8" s="3" t="inlineStr">
        <is>
          <t>Estética</t>
        </is>
      </c>
      <c r="D8" s="3" t="inlineStr">
        <is>
          <t>Calle de Embajadores, 22</t>
        </is>
      </c>
      <c r="E8" s="3" t="inlineStr">
        <is>
          <t>Embajadores</t>
        </is>
      </c>
      <c r="F8" s="3" t="inlineStr">
        <is>
          <t>Centro</t>
        </is>
      </c>
      <c r="G8" s="3" t="inlineStr">
        <is>
          <t>684198687</t>
        </is>
      </c>
      <c r="H8" s="4" t="inlineStr">
        <is>
          <t>NO</t>
        </is>
      </c>
      <c r="I8" s="3" t="inlineStr">
        <is>
          <t>Fresha</t>
        </is>
      </c>
      <c r="J8" s="3" t="inlineStr">
        <is>
          <t>4.1</t>
        </is>
      </c>
      <c r="K8" s="3" t="inlineStr"/>
      <c r="L8" s="2" t="inlineStr">
        <is>
          <t>Sí</t>
        </is>
      </c>
      <c r="M8" s="2" t="inlineStr">
        <is>
          <t>Alta</t>
        </is>
      </c>
      <c r="N8" s="3" t="inlineStr">
        <is>
          <t>Abre los 7 días, 10-21h</t>
        </is>
      </c>
    </row>
    <row r="9">
      <c r="A9" s="5" t="n">
        <v>8</v>
      </c>
      <c r="B9" s="6" t="inlineStr">
        <is>
          <t>Sara Beauty</t>
        </is>
      </c>
      <c r="C9" s="6" t="inlineStr">
        <is>
          <t>Estética</t>
        </is>
      </c>
      <c r="D9" s="6" t="inlineStr">
        <is>
          <t>Calle Mayor, 18, 1ª planta dcha</t>
        </is>
      </c>
      <c r="E9" s="6" t="inlineStr">
        <is>
          <t>Sol</t>
        </is>
      </c>
      <c r="F9" s="6" t="inlineStr">
        <is>
          <t>Centro</t>
        </is>
      </c>
      <c r="G9" s="6" t="inlineStr"/>
      <c r="H9" s="7" t="inlineStr">
        <is>
          <t>NO</t>
        </is>
      </c>
      <c r="I9" s="6" t="inlineStr">
        <is>
          <t>Treatwell, Uala, Instagram (@sara_beauty_es)</t>
        </is>
      </c>
      <c r="J9" s="6" t="inlineStr">
        <is>
          <t>4.9</t>
        </is>
      </c>
      <c r="K9" s="6" t="inlineStr"/>
      <c r="L9" s="5" t="inlineStr">
        <is>
          <t>Sí</t>
        </is>
      </c>
      <c r="M9" s="5" t="inlineStr">
        <is>
          <t>Alta</t>
        </is>
      </c>
      <c r="N9" s="6" t="inlineStr">
        <is>
          <t>Estética avanzada; solo Instagram</t>
        </is>
      </c>
    </row>
    <row r="10">
      <c r="A10" s="2" t="n">
        <v>9</v>
      </c>
      <c r="B10" s="3" t="inlineStr">
        <is>
          <t>Centro Estético Impar</t>
        </is>
      </c>
      <c r="C10" s="3" t="inlineStr">
        <is>
          <t>Estética</t>
        </is>
      </c>
      <c r="D10" s="3" t="inlineStr">
        <is>
          <t>Calle de Antonio Acuña, 3</t>
        </is>
      </c>
      <c r="E10" s="3" t="inlineStr">
        <is>
          <t>Goya</t>
        </is>
      </c>
      <c r="F10" s="3" t="inlineStr">
        <is>
          <t>Salamanca</t>
        </is>
      </c>
      <c r="G10" s="3" t="inlineStr"/>
      <c r="H10" s="4" t="inlineStr">
        <is>
          <t>NO</t>
        </is>
      </c>
      <c r="I10" s="3" t="inlineStr">
        <is>
          <t>Fresha, Treatwell, Páginas Amarillas, Empresite</t>
        </is>
      </c>
      <c r="J10" s="3" t="inlineStr"/>
      <c r="K10" s="3" t="inlineStr"/>
      <c r="L10" s="2" t="inlineStr">
        <is>
          <t>Sí</t>
        </is>
      </c>
      <c r="M10" s="2" t="inlineStr">
        <is>
          <t>Alta</t>
        </is>
      </c>
      <c r="N10" s="3" t="inlineStr">
        <is>
          <t>+20 años; cosmética eco</t>
        </is>
      </c>
    </row>
    <row r="11">
      <c r="A11" s="5" t="n">
        <v>10</v>
      </c>
      <c r="B11" s="6" t="inlineStr">
        <is>
          <t>Hidalgo Esthetic</t>
        </is>
      </c>
      <c r="C11" s="6" t="inlineStr">
        <is>
          <t>Estética</t>
        </is>
      </c>
      <c r="D11" s="6" t="inlineStr">
        <is>
          <t>Calle de Manuela Malasaña, 24</t>
        </is>
      </c>
      <c r="E11" s="6" t="inlineStr">
        <is>
          <t>Malasaña</t>
        </is>
      </c>
      <c r="F11" s="6" t="inlineStr">
        <is>
          <t>Centro</t>
        </is>
      </c>
      <c r="G11" s="6" t="inlineStr">
        <is>
          <t>603039128</t>
        </is>
      </c>
      <c r="H11" s="7" t="inlineStr">
        <is>
          <t>NO</t>
        </is>
      </c>
      <c r="I11" s="6" t="inlineStr">
        <is>
          <t>Treatwell, bellecenter</t>
        </is>
      </c>
      <c r="J11" s="6" t="inlineStr">
        <is>
          <t>5.0</t>
        </is>
      </c>
      <c r="K11" s="6" t="inlineStr">
        <is>
          <t>17</t>
        </is>
      </c>
      <c r="L11" s="5" t="inlineStr">
        <is>
          <t>Sí</t>
        </is>
      </c>
      <c r="M11" s="5" t="inlineStr">
        <is>
          <t>Alta</t>
        </is>
      </c>
      <c r="N11" s="6" t="inlineStr">
        <is>
          <t>Estética avanzada, radiofrecuencia y criolipólisis</t>
        </is>
      </c>
    </row>
    <row r="12">
      <c r="A12" s="2" t="n">
        <v>11</v>
      </c>
      <c r="B12" s="3" t="inlineStr">
        <is>
          <t>D'Essential Beauty</t>
        </is>
      </c>
      <c r="C12" s="3" t="inlineStr">
        <is>
          <t>Estética</t>
        </is>
      </c>
      <c r="D12" s="3" t="inlineStr">
        <is>
          <t>Calle del Duque de Sesto, 3</t>
        </is>
      </c>
      <c r="E12" s="3" t="inlineStr">
        <is>
          <t>Goya</t>
        </is>
      </c>
      <c r="F12" s="3" t="inlineStr">
        <is>
          <t>Salamanca</t>
        </is>
      </c>
      <c r="G12" s="3" t="inlineStr">
        <is>
          <t>910967446</t>
        </is>
      </c>
      <c r="H12" s="4" t="inlineStr">
        <is>
          <t>NO</t>
        </is>
      </c>
      <c r="I12" s="3" t="inlineStr">
        <is>
          <t>Fresha, Treatwell, Booksy, Cylex</t>
        </is>
      </c>
      <c r="J12" s="3" t="inlineStr">
        <is>
          <t>5.0</t>
        </is>
      </c>
      <c r="K12" s="3" t="inlineStr"/>
      <c r="L12" s="2" t="inlineStr">
        <is>
          <t>Sí</t>
        </is>
      </c>
      <c r="M12" s="2" t="inlineStr">
        <is>
          <t>Alta</t>
        </is>
      </c>
      <c r="N12" s="3" t="inlineStr">
        <is>
          <t>Local muy cuidado, microblading</t>
        </is>
      </c>
    </row>
    <row r="13">
      <c r="A13" s="5" t="n">
        <v>12</v>
      </c>
      <c r="B13" s="6" t="inlineStr">
        <is>
          <t>Espacio Beauty</t>
        </is>
      </c>
      <c r="C13" s="6" t="inlineStr">
        <is>
          <t>Estética</t>
        </is>
      </c>
      <c r="D13" s="6" t="inlineStr">
        <is>
          <t>Adelfas (junto a metro Pacífico) — nº por confirmar</t>
        </is>
      </c>
      <c r="E13" s="6" t="inlineStr">
        <is>
          <t>Adelfas</t>
        </is>
      </c>
      <c r="F13" s="6" t="inlineStr">
        <is>
          <t>Retiro</t>
        </is>
      </c>
      <c r="G13" s="6" t="inlineStr"/>
      <c r="H13" s="7" t="inlineStr">
        <is>
          <t>NO</t>
        </is>
      </c>
      <c r="I13" s="6" t="inlineStr">
        <is>
          <t>Treatwell, Instagram (@espaciobeautyoficial)</t>
        </is>
      </c>
      <c r="J13" s="6" t="inlineStr"/>
      <c r="K13" s="6" t="inlineStr"/>
      <c r="L13" s="5" t="inlineStr">
        <is>
          <t>Sí</t>
        </is>
      </c>
      <c r="M13" s="8" t="inlineStr">
        <is>
          <t>Media</t>
        </is>
      </c>
      <c r="N13" s="6" t="inlineStr">
        <is>
          <t>Falta número exacto de calle</t>
        </is>
      </c>
    </row>
    <row r="14">
      <c r="A14" s="2" t="n">
        <v>13</v>
      </c>
      <c r="B14" s="3" t="inlineStr">
        <is>
          <t>Cio Estética</t>
        </is>
      </c>
      <c r="C14" s="3" t="inlineStr">
        <is>
          <t>Estética</t>
        </is>
      </c>
      <c r="D14" s="3" t="inlineStr">
        <is>
          <t>Av. de la Ciudad de Barcelona, 176 (dentro de Kibo Peluqueros)</t>
        </is>
      </c>
      <c r="E14" s="3" t="inlineStr">
        <is>
          <t>Pacífico</t>
        </is>
      </c>
      <c r="F14" s="3" t="inlineStr">
        <is>
          <t>Retiro</t>
        </is>
      </c>
      <c r="G14" s="3" t="inlineStr"/>
      <c r="H14" s="4" t="inlineStr">
        <is>
          <t>NO</t>
        </is>
      </c>
      <c r="I14" s="3" t="inlineStr">
        <is>
          <t>Treatwell, Fresha</t>
        </is>
      </c>
      <c r="J14" s="3" t="inlineStr"/>
      <c r="K14" s="3" t="inlineStr"/>
      <c r="L14" s="2" t="inlineStr">
        <is>
          <t>Sí</t>
        </is>
      </c>
      <c r="M14" s="2" t="inlineStr">
        <is>
          <t>Alta</t>
        </is>
      </c>
      <c r="N14" s="3" t="inlineStr">
        <is>
          <t>Gestionado por Rocío; espacio dentro de peluquería</t>
        </is>
      </c>
    </row>
    <row r="15">
      <c r="A15" s="5" t="n">
        <v>14</v>
      </c>
      <c r="B15" s="6" t="inlineStr">
        <is>
          <t>Bocoa Beauty</t>
        </is>
      </c>
      <c r="C15" s="6" t="inlineStr">
        <is>
          <t>Estética</t>
        </is>
      </c>
      <c r="D15" s="6" t="inlineStr">
        <is>
          <t>Plaza de las Salesas, 2</t>
        </is>
      </c>
      <c r="E15" s="6" t="inlineStr">
        <is>
          <t>Justicia</t>
        </is>
      </c>
      <c r="F15" s="6" t="inlineStr">
        <is>
          <t>Centro</t>
        </is>
      </c>
      <c r="G15" s="6" t="inlineStr">
        <is>
          <t>647603949</t>
        </is>
      </c>
      <c r="H15" s="7" t="inlineStr">
        <is>
          <t>NO</t>
        </is>
      </c>
      <c r="I15" s="6" t="inlineStr">
        <is>
          <t>Treatwell, prensa (Grazia), Un Buen Día en Madrid</t>
        </is>
      </c>
      <c r="J15" s="6" t="inlineStr"/>
      <c r="K15" s="6" t="inlineStr"/>
      <c r="L15" s="5" t="inlineStr">
        <is>
          <t>Sí</t>
        </is>
      </c>
      <c r="M15" s="5" t="inlineStr">
        <is>
          <t>Alta</t>
        </is>
      </c>
      <c r="N15" s="6" t="inlineStr">
        <is>
          <t>Cosmética natural y eco; local de diseño</t>
        </is>
      </c>
    </row>
    <row r="16">
      <c r="A16" s="2" t="n">
        <v>15</v>
      </c>
      <c r="B16" s="3" t="inlineStr">
        <is>
          <t>Tenshi Asesores de Belleza</t>
        </is>
      </c>
      <c r="C16" s="3" t="inlineStr">
        <is>
          <t>Estética</t>
        </is>
      </c>
      <c r="D16" s="3" t="inlineStr">
        <is>
          <t>Calle del Doctor Esquerdo, 183</t>
        </is>
      </c>
      <c r="E16" s="3" t="inlineStr">
        <is>
          <t>Adelfas</t>
        </is>
      </c>
      <c r="F16" s="3" t="inlineStr">
        <is>
          <t>Retiro</t>
        </is>
      </c>
      <c r="G16" s="3" t="inlineStr"/>
      <c r="H16" s="4" t="inlineStr">
        <is>
          <t>NO</t>
        </is>
      </c>
      <c r="I16" s="3" t="inlineStr">
        <is>
          <t>Treatwell, Fresha, Cylex, Instagram (@tenshi_ab)</t>
        </is>
      </c>
      <c r="J16" s="3" t="inlineStr"/>
      <c r="K16" s="3" t="inlineStr"/>
      <c r="L16" s="2" t="inlineStr">
        <is>
          <t>Sí</t>
        </is>
      </c>
      <c r="M16" s="2" t="inlineStr">
        <is>
          <t>Alta</t>
        </is>
      </c>
      <c r="N16" s="3" t="inlineStr">
        <is>
          <t>Sociedad creada hace ~4 años</t>
        </is>
      </c>
    </row>
    <row r="17">
      <c r="A17" s="5" t="n">
        <v>16</v>
      </c>
      <c r="B17" s="6" t="inlineStr">
        <is>
          <t>Lashes Madrid</t>
        </is>
      </c>
      <c r="C17" s="6" t="inlineStr">
        <is>
          <t>Estética</t>
        </is>
      </c>
      <c r="D17" s="6" t="inlineStr">
        <is>
          <t>Adelfas, junto al Retiro — nº por confirmar</t>
        </is>
      </c>
      <c r="E17" s="6" t="inlineStr">
        <is>
          <t>Adelfas</t>
        </is>
      </c>
      <c r="F17" s="6" t="inlineStr">
        <is>
          <t>Retiro</t>
        </is>
      </c>
      <c r="G17" s="6" t="inlineStr"/>
      <c r="H17" s="7" t="inlineStr">
        <is>
          <t>NO</t>
        </is>
      </c>
      <c r="I17" s="6" t="inlineStr">
        <is>
          <t>Treatwell</t>
        </is>
      </c>
      <c r="J17" s="6" t="inlineStr">
        <is>
          <t>4.4</t>
        </is>
      </c>
      <c r="K17" s="6" t="inlineStr"/>
      <c r="L17" s="5" t="inlineStr">
        <is>
          <t>Sí</t>
        </is>
      </c>
      <c r="M17" s="8" t="inlineStr">
        <is>
          <t>Media</t>
        </is>
      </c>
      <c r="N17" s="6" t="inlineStr">
        <is>
          <t>Falta dirección exacta. Regentado por Cecilia</t>
        </is>
      </c>
    </row>
    <row r="18">
      <c r="A18" s="2" t="n">
        <v>17</v>
      </c>
      <c r="B18" s="3" t="inlineStr">
        <is>
          <t>Peluquería Energy Pacífico</t>
        </is>
      </c>
      <c r="C18" s="3" t="inlineStr">
        <is>
          <t>Estética</t>
        </is>
      </c>
      <c r="D18" s="3" t="inlineStr">
        <is>
          <t>Calle del Doctor Esquerdo, 209</t>
        </is>
      </c>
      <c r="E18" s="3" t="inlineStr">
        <is>
          <t>Adelfas</t>
        </is>
      </c>
      <c r="F18" s="3" t="inlineStr">
        <is>
          <t>Retiro</t>
        </is>
      </c>
      <c r="G18" s="3" t="inlineStr"/>
      <c r="H18" s="4" t="inlineStr">
        <is>
          <t>NO</t>
        </is>
      </c>
      <c r="I18" s="3" t="inlineStr">
        <is>
          <t>Treatwell</t>
        </is>
      </c>
      <c r="J18" s="3" t="inlineStr">
        <is>
          <t>4.5</t>
        </is>
      </c>
      <c r="K18" s="3" t="inlineStr">
        <is>
          <t>81</t>
        </is>
      </c>
      <c r="L18" s="2" t="inlineStr">
        <is>
          <t>Sí</t>
        </is>
      </c>
      <c r="M18" s="8" t="inlineStr">
        <is>
          <t>Media</t>
        </is>
      </c>
      <c r="N18" s="3" t="inlineStr">
        <is>
          <t>Aparece como no disponible en Treatwell: confirmar apertura</t>
        </is>
      </c>
    </row>
    <row r="19">
      <c r="A19" s="5" t="n">
        <v>18</v>
      </c>
      <c r="B19" s="6" t="inlineStr">
        <is>
          <t>Centro Médico Estético Le Santé</t>
        </is>
      </c>
      <c r="C19" s="6" t="inlineStr">
        <is>
          <t>Estética</t>
        </is>
      </c>
      <c r="D19" s="6" t="inlineStr">
        <is>
          <t>Calle del Cerro de la Plata, 1</t>
        </is>
      </c>
      <c r="E19" s="6" t="inlineStr">
        <is>
          <t>Pacífico</t>
        </is>
      </c>
      <c r="F19" s="6" t="inlineStr">
        <is>
          <t>Retiro</t>
        </is>
      </c>
      <c r="G19" s="6" t="inlineStr"/>
      <c r="H19" s="7" t="inlineStr">
        <is>
          <t>NO</t>
        </is>
      </c>
      <c r="I19" s="6" t="inlineStr">
        <is>
          <t>Treatwell, Fresha</t>
        </is>
      </c>
      <c r="J19" s="6" t="inlineStr"/>
      <c r="K19" s="6" t="inlineStr"/>
      <c r="L19" s="5" t="inlineStr">
        <is>
          <t>Sí</t>
        </is>
      </c>
      <c r="M19" s="8" t="inlineStr">
        <is>
          <t>Media</t>
        </is>
      </c>
      <c r="N19" s="6" t="inlineStr">
        <is>
          <t>Otra fuente cita Av. Ciudad de Barcelona 35 — confirmar</t>
        </is>
      </c>
    </row>
    <row r="20">
      <c r="A20" s="2" t="n">
        <v>19</v>
      </c>
      <c r="B20" s="3" t="inlineStr">
        <is>
          <t>Alma Salón</t>
        </is>
      </c>
      <c r="C20" s="3" t="inlineStr">
        <is>
          <t>Estética</t>
        </is>
      </c>
      <c r="D20" s="3" t="inlineStr">
        <is>
          <t>Calle del Salitre, 41</t>
        </is>
      </c>
      <c r="E20" s="3" t="inlineStr">
        <is>
          <t>Lavapiés</t>
        </is>
      </c>
      <c r="F20" s="3" t="inlineStr">
        <is>
          <t>Centro</t>
        </is>
      </c>
      <c r="G20" s="3" t="inlineStr">
        <is>
          <t>625716990</t>
        </is>
      </c>
      <c r="H20" s="4" t="inlineStr">
        <is>
          <t>NO</t>
        </is>
      </c>
      <c r="I20" s="3" t="inlineStr">
        <is>
          <t>Treatwell, Instagram (@almasalonestilista)</t>
        </is>
      </c>
      <c r="J20" s="3" t="inlineStr"/>
      <c r="K20" s="3" t="inlineStr"/>
      <c r="L20" s="2" t="inlineStr">
        <is>
          <t>Sí</t>
        </is>
      </c>
      <c r="M20" s="2" t="inlineStr">
        <is>
          <t>Alta</t>
        </is>
      </c>
      <c r="N20" s="3" t="inlineStr">
        <is>
          <t>Peluquería de autor, solo con cita</t>
        </is>
      </c>
    </row>
    <row r="21">
      <c r="A21" s="5" t="n">
        <v>20</v>
      </c>
      <c r="B21" s="6" t="inlineStr">
        <is>
          <t>SanYDar</t>
        </is>
      </c>
      <c r="C21" s="6" t="inlineStr">
        <is>
          <t>Estética</t>
        </is>
      </c>
      <c r="D21" s="6" t="inlineStr">
        <is>
          <t>Calle de Fray Ceferino González, 1</t>
        </is>
      </c>
      <c r="E21" s="6" t="inlineStr">
        <is>
          <t>Embajadores</t>
        </is>
      </c>
      <c r="F21" s="6" t="inlineStr">
        <is>
          <t>Centro</t>
        </is>
      </c>
      <c r="G21" s="6" t="inlineStr"/>
      <c r="H21" s="7" t="inlineStr">
        <is>
          <t>NO</t>
        </is>
      </c>
      <c r="I21" s="6" t="inlineStr">
        <is>
          <t>Treatwell, Fresha</t>
        </is>
      </c>
      <c r="J21" s="6" t="inlineStr"/>
      <c r="K21" s="6" t="inlineStr"/>
      <c r="L21" s="5" t="inlineStr">
        <is>
          <t>Sí</t>
        </is>
      </c>
      <c r="M21" s="5" t="inlineStr">
        <is>
          <t>Alta</t>
        </is>
      </c>
      <c r="N21" s="6" t="inlineStr">
        <is>
          <t>Aparataología: presoterapia, cavitación, radiofrecuencia</t>
        </is>
      </c>
    </row>
    <row r="22">
      <c r="A22" s="2" t="n">
        <v>21</v>
      </c>
      <c r="B22" s="3" t="inlineStr">
        <is>
          <t>COCIU Beauty Salon</t>
        </is>
      </c>
      <c r="C22" s="3" t="inlineStr">
        <is>
          <t>Estética</t>
        </is>
      </c>
      <c r="D22" s="3" t="inlineStr">
        <is>
          <t>Av. del General Perón, 7</t>
        </is>
      </c>
      <c r="E22" s="3" t="inlineStr">
        <is>
          <t>Cuatro Caminos</t>
        </is>
      </c>
      <c r="F22" s="3" t="inlineStr">
        <is>
          <t>Tetuán</t>
        </is>
      </c>
      <c r="G22" s="3" t="inlineStr"/>
      <c r="H22" s="4" t="inlineStr">
        <is>
          <t>NO</t>
        </is>
      </c>
      <c r="I22" s="3" t="inlineStr">
        <is>
          <t>Treatwell, Fresha</t>
        </is>
      </c>
      <c r="J22" s="3" t="inlineStr">
        <is>
          <t>4.8</t>
        </is>
      </c>
      <c r="K22" s="3" t="inlineStr">
        <is>
          <t>315</t>
        </is>
      </c>
      <c r="L22" s="2" t="inlineStr">
        <is>
          <t>Sí</t>
        </is>
      </c>
      <c r="M22" s="2" t="inlineStr">
        <is>
          <t>Alta</t>
        </is>
      </c>
      <c r="N22" s="3" t="inlineStr">
        <is>
          <t>Volumen alto de reseñas, muy buen candidato</t>
        </is>
      </c>
    </row>
    <row r="23">
      <c r="A23" s="5" t="n">
        <v>22</v>
      </c>
      <c r="B23" s="6" t="inlineStr">
        <is>
          <t>JIREH Nails &amp; Beauty</t>
        </is>
      </c>
      <c r="C23" s="6" t="inlineStr">
        <is>
          <t>Estética</t>
        </is>
      </c>
      <c r="D23" s="6" t="inlineStr">
        <is>
          <t>Calle de Hermosilla, 104</t>
        </is>
      </c>
      <c r="E23" s="6" t="inlineStr">
        <is>
          <t>Goya</t>
        </is>
      </c>
      <c r="F23" s="6" t="inlineStr">
        <is>
          <t>Salamanca</t>
        </is>
      </c>
      <c r="G23" s="6" t="inlineStr"/>
      <c r="H23" s="7" t="inlineStr">
        <is>
          <t>NO</t>
        </is>
      </c>
      <c r="I23" s="6" t="inlineStr">
        <is>
          <t>Fresha, Job Today</t>
        </is>
      </c>
      <c r="J23" s="6" t="inlineStr">
        <is>
          <t>4.9</t>
        </is>
      </c>
      <c r="K23" s="6" t="inlineStr">
        <is>
          <t>143</t>
        </is>
      </c>
      <c r="L23" s="5" t="inlineStr">
        <is>
          <t>Sí</t>
        </is>
      </c>
      <c r="M23" s="5" t="inlineStr">
        <is>
          <t>Alta</t>
        </is>
      </c>
      <c r="N23" s="6" t="inlineStr">
        <is>
          <t>Uñas y estética; 1-10 empleados</t>
        </is>
      </c>
    </row>
    <row r="24">
      <c r="A24" s="2" t="n">
        <v>23</v>
      </c>
      <c r="B24" s="3" t="inlineStr">
        <is>
          <t>Salón Acacio</t>
        </is>
      </c>
      <c r="C24" s="3" t="inlineStr">
        <is>
          <t>Estética</t>
        </is>
      </c>
      <c r="D24" s="3" t="inlineStr">
        <is>
          <t>Calle de Barbieri, 1</t>
        </is>
      </c>
      <c r="E24" s="3" t="inlineStr">
        <is>
          <t>Chueca</t>
        </is>
      </c>
      <c r="F24" s="3" t="inlineStr">
        <is>
          <t>Centro</t>
        </is>
      </c>
      <c r="G24" s="3" t="inlineStr"/>
      <c r="H24" s="4" t="inlineStr">
        <is>
          <t>NO</t>
        </is>
      </c>
      <c r="I24" s="3" t="inlineStr">
        <is>
          <t>Treatwell, Booksy</t>
        </is>
      </c>
      <c r="J24" s="3" t="inlineStr">
        <is>
          <t>4.9</t>
        </is>
      </c>
      <c r="K24" s="3" t="inlineStr">
        <is>
          <t>68</t>
        </is>
      </c>
      <c r="L24" s="2" t="inlineStr">
        <is>
          <t>Sí</t>
        </is>
      </c>
      <c r="M24" s="2" t="inlineStr">
        <is>
          <t>Alta</t>
        </is>
      </c>
      <c r="N24" s="3" t="inlineStr">
        <is>
          <t>Boutique de imagen, muy bien valorado</t>
        </is>
      </c>
    </row>
    <row r="25">
      <c r="A25" s="5" t="n">
        <v>24</v>
      </c>
      <c r="B25" s="6" t="inlineStr">
        <is>
          <t>Meryciss</t>
        </is>
      </c>
      <c r="C25" s="6" t="inlineStr">
        <is>
          <t>Estética</t>
        </is>
      </c>
      <c r="D25" s="6" t="inlineStr">
        <is>
          <t>Calle de María de Guzmán, 39</t>
        </is>
      </c>
      <c r="E25" s="6" t="inlineStr">
        <is>
          <t>Ríos Rosas</t>
        </is>
      </c>
      <c r="F25" s="6" t="inlineStr">
        <is>
          <t>Chamberí</t>
        </is>
      </c>
      <c r="G25" s="6" t="inlineStr"/>
      <c r="H25" s="7" t="inlineStr">
        <is>
          <t>NO</t>
        </is>
      </c>
      <c r="I25" s="6" t="inlineStr">
        <is>
          <t>Treatwell</t>
        </is>
      </c>
      <c r="J25" s="6" t="inlineStr"/>
      <c r="K25" s="6" t="inlineStr"/>
      <c r="L25" s="5" t="inlineStr">
        <is>
          <t>Sí</t>
        </is>
      </c>
      <c r="M25" s="8" t="inlineStr">
        <is>
          <t>Media</t>
        </is>
      </c>
      <c r="N25" s="6" t="inlineStr">
        <is>
          <t>Aparece como no disponible en Treatwell: confirmar apertura</t>
        </is>
      </c>
    </row>
    <row r="26">
      <c r="A26" s="2" t="n">
        <v>25</v>
      </c>
      <c r="B26" s="3" t="inlineStr">
        <is>
          <t>A Mi Aire Peluquería y Estética</t>
        </is>
      </c>
      <c r="C26" s="3" t="inlineStr">
        <is>
          <t>Estética</t>
        </is>
      </c>
      <c r="D26" s="3" t="inlineStr">
        <is>
          <t>Calle de la Bola, 4, bajo</t>
        </is>
      </c>
      <c r="E26" s="3" t="inlineStr">
        <is>
          <t>Palacio</t>
        </is>
      </c>
      <c r="F26" s="3" t="inlineStr">
        <is>
          <t>Centro</t>
        </is>
      </c>
      <c r="G26" s="3" t="inlineStr">
        <is>
          <t>915471690</t>
        </is>
      </c>
      <c r="H26" s="4" t="inlineStr">
        <is>
          <t>NO</t>
        </is>
      </c>
      <c r="I26" s="3" t="inlineStr">
        <is>
          <t>Treatwell, Fresha, Páginas Amarillas</t>
        </is>
      </c>
      <c r="J26" s="3" t="inlineStr"/>
      <c r="K26" s="3" t="inlineStr"/>
      <c r="L26" s="2" t="inlineStr">
        <is>
          <t>Sí</t>
        </is>
      </c>
      <c r="M26" s="2" t="inlineStr">
        <is>
          <t>Alta</t>
        </is>
      </c>
      <c r="N26" s="3" t="inlineStr">
        <is>
          <t>Entre Ópera y Santo Domingo</t>
        </is>
      </c>
    </row>
    <row r="27">
      <c r="A27" s="5" t="n">
        <v>26</v>
      </c>
      <c r="B27" s="6" t="inlineStr">
        <is>
          <t>Capelli 12</t>
        </is>
      </c>
      <c r="C27" s="6" t="inlineStr">
        <is>
          <t>Estética</t>
        </is>
      </c>
      <c r="D27" s="6" t="inlineStr">
        <is>
          <t>Chopera (entre Delicias y Legazpi) — nº por confirmar</t>
        </is>
      </c>
      <c r="E27" s="6" t="inlineStr">
        <is>
          <t>Chopera</t>
        </is>
      </c>
      <c r="F27" s="6" t="inlineStr">
        <is>
          <t>Arganzuela</t>
        </is>
      </c>
      <c r="G27" s="6" t="inlineStr"/>
      <c r="H27" s="7" t="inlineStr">
        <is>
          <t>NO</t>
        </is>
      </c>
      <c r="I27" s="6" t="inlineStr">
        <is>
          <t>Treatwell</t>
        </is>
      </c>
      <c r="J27" s="6" t="inlineStr"/>
      <c r="K27" s="6" t="inlineStr"/>
      <c r="L27" s="5" t="inlineStr">
        <is>
          <t>Sí</t>
        </is>
      </c>
      <c r="M27" s="8" t="inlineStr">
        <is>
          <t>Media</t>
        </is>
      </c>
      <c r="N27" s="6" t="inlineStr">
        <is>
          <t>+15 años. Falta dirección exacta</t>
        </is>
      </c>
    </row>
    <row r="28">
      <c r="A28" s="2" t="n">
        <v>27</v>
      </c>
      <c r="B28" s="3" t="inlineStr">
        <is>
          <t>Blondy Peluqueros</t>
        </is>
      </c>
      <c r="C28" s="3" t="inlineStr">
        <is>
          <t>Estética</t>
        </is>
      </c>
      <c r="D28" s="3" t="inlineStr">
        <is>
          <t>Paseo de Santa María de la Cabeza, 42</t>
        </is>
      </c>
      <c r="E28" s="3" t="inlineStr">
        <is>
          <t>Palos de Moguer</t>
        </is>
      </c>
      <c r="F28" s="3" t="inlineStr">
        <is>
          <t>Arganzuela</t>
        </is>
      </c>
      <c r="G28" s="3" t="inlineStr">
        <is>
          <t>915273566</t>
        </is>
      </c>
      <c r="H28" s="4" t="inlineStr">
        <is>
          <t>NO</t>
        </is>
      </c>
      <c r="I28" s="3" t="inlineStr">
        <is>
          <t>Fresha, Treatwell, Instagram, Facebook, qdq</t>
        </is>
      </c>
      <c r="J28" s="3" t="inlineStr">
        <is>
          <t>4.4</t>
        </is>
      </c>
      <c r="K28" s="3" t="inlineStr">
        <is>
          <t>231</t>
        </is>
      </c>
      <c r="L28" s="2" t="inlineStr">
        <is>
          <t>Sí</t>
        </is>
      </c>
      <c r="M28" s="2" t="inlineStr">
        <is>
          <t>Alta</t>
        </is>
      </c>
      <c r="N28" s="3" t="inlineStr">
        <is>
          <t>Abierto desde 1952; mucho histórico de reseñas</t>
        </is>
      </c>
    </row>
    <row r="29">
      <c r="A29" s="5" t="n">
        <v>28</v>
      </c>
      <c r="B29" s="6" t="inlineStr">
        <is>
          <t>Monet Peluqueros</t>
        </is>
      </c>
      <c r="C29" s="6" t="inlineStr">
        <is>
          <t>Estética</t>
        </is>
      </c>
      <c r="D29" s="6" t="inlineStr">
        <is>
          <t>Calle de Palos de la Frontera, 11</t>
        </is>
      </c>
      <c r="E29" s="6" t="inlineStr">
        <is>
          <t>Palos de Moguer</t>
        </is>
      </c>
      <c r="F29" s="6" t="inlineStr">
        <is>
          <t>Arganzuela</t>
        </is>
      </c>
      <c r="G29" s="6" t="inlineStr">
        <is>
          <t>914672367</t>
        </is>
      </c>
      <c r="H29" s="7" t="inlineStr">
        <is>
          <t>NO</t>
        </is>
      </c>
      <c r="I29" s="6" t="inlineStr">
        <is>
          <t>Treatwell, Fresha, Páginas Amarillas, qdq</t>
        </is>
      </c>
      <c r="J29" s="6" t="inlineStr">
        <is>
          <t>4.6</t>
        </is>
      </c>
      <c r="K29" s="6" t="inlineStr"/>
      <c r="L29" s="5" t="inlineStr">
        <is>
          <t>Sí</t>
        </is>
      </c>
      <c r="M29" s="5" t="inlineStr">
        <is>
          <t>Alta</t>
        </is>
      </c>
      <c r="N29" s="6" t="inlineStr">
        <is>
          <t>Peluquería + estética</t>
        </is>
      </c>
    </row>
    <row r="30">
      <c r="A30" s="2" t="n">
        <v>29</v>
      </c>
      <c r="B30" s="3" t="inlineStr">
        <is>
          <t>Sukha Centro Estético</t>
        </is>
      </c>
      <c r="C30" s="3" t="inlineStr">
        <is>
          <t>Estética</t>
        </is>
      </c>
      <c r="D30" s="3" t="inlineStr">
        <is>
          <t>Calle de Julián Romea, 8</t>
        </is>
      </c>
      <c r="E30" s="3" t="inlineStr">
        <is>
          <t>Vallehermoso</t>
        </is>
      </c>
      <c r="F30" s="3" t="inlineStr">
        <is>
          <t>Chamberí</t>
        </is>
      </c>
      <c r="G30" s="3" t="inlineStr">
        <is>
          <t>911424987</t>
        </is>
      </c>
      <c r="H30" s="4" t="inlineStr">
        <is>
          <t>NO</t>
        </is>
      </c>
      <c r="I30" s="3" t="inlineStr">
        <is>
          <t>Treatwell, Fresha, Páginas Amarillas</t>
        </is>
      </c>
      <c r="J30" s="3" t="inlineStr"/>
      <c r="K30" s="3" t="inlineStr"/>
      <c r="L30" s="2" t="inlineStr">
        <is>
          <t>Sí</t>
        </is>
      </c>
      <c r="M30" s="2" t="inlineStr">
        <is>
          <t>Alta</t>
        </is>
      </c>
      <c r="N30" s="3" t="inlineStr">
        <is>
          <t>Estética avanzada, reductores y faciales</t>
        </is>
      </c>
    </row>
    <row r="31">
      <c r="A31" s="5" t="n">
        <v>30</v>
      </c>
      <c r="B31" s="6" t="inlineStr">
        <is>
          <t>De La Peña Peluqueros</t>
        </is>
      </c>
      <c r="C31" s="6" t="inlineStr">
        <is>
          <t>Estética</t>
        </is>
      </c>
      <c r="D31" s="6" t="inlineStr">
        <is>
          <t>Calle de Fernando Poo, 32</t>
        </is>
      </c>
      <c r="E31" s="6" t="inlineStr">
        <is>
          <t>Chopera</t>
        </is>
      </c>
      <c r="F31" s="6" t="inlineStr">
        <is>
          <t>Arganzuela</t>
        </is>
      </c>
      <c r="G31" s="6" t="inlineStr"/>
      <c r="H31" s="7" t="inlineStr">
        <is>
          <t>NO</t>
        </is>
      </c>
      <c r="I31" s="6" t="inlineStr">
        <is>
          <t>Treatwell</t>
        </is>
      </c>
      <c r="J31" s="6" t="inlineStr"/>
      <c r="K31" s="6" t="inlineStr"/>
      <c r="L31" s="5" t="inlineStr">
        <is>
          <t>Sí</t>
        </is>
      </c>
      <c r="M31" s="5" t="inlineStr">
        <is>
          <t>Alta</t>
        </is>
      </c>
      <c r="N31" s="6" t="inlineStr">
        <is>
          <t>Entre Delicias y Legazpi</t>
        </is>
      </c>
    </row>
    <row r="32">
      <c r="A32" s="2" t="n">
        <v>31</v>
      </c>
      <c r="B32" s="3" t="inlineStr">
        <is>
          <t>Centro de Estética y Belleza</t>
        </is>
      </c>
      <c r="C32" s="3" t="inlineStr">
        <is>
          <t>Estética</t>
        </is>
      </c>
      <c r="D32" s="3" t="inlineStr">
        <is>
          <t>Sol, junto a metro Santo Domingo — nº por confirmar</t>
        </is>
      </c>
      <c r="E32" s="3" t="inlineStr">
        <is>
          <t>Sol</t>
        </is>
      </c>
      <c r="F32" s="3" t="inlineStr">
        <is>
          <t>Centro</t>
        </is>
      </c>
      <c r="G32" s="3" t="inlineStr"/>
      <c r="H32" s="4" t="inlineStr">
        <is>
          <t>NO</t>
        </is>
      </c>
      <c r="I32" s="3" t="inlineStr">
        <is>
          <t>Treatwell</t>
        </is>
      </c>
      <c r="J32" s="3" t="inlineStr">
        <is>
          <t>4.7</t>
        </is>
      </c>
      <c r="K32" s="3" t="inlineStr">
        <is>
          <t>439</t>
        </is>
      </c>
      <c r="L32" s="2" t="inlineStr">
        <is>
          <t>Sí</t>
        </is>
      </c>
      <c r="M32" s="8" t="inlineStr">
        <is>
          <t>Media</t>
        </is>
      </c>
      <c r="N32" s="3" t="inlineStr">
        <is>
          <t>Muchísimas reseñas. Aparece no disponible en Treatwell: confirmar</t>
        </is>
      </c>
    </row>
    <row r="33">
      <c r="A33" s="5" t="n">
        <v>32</v>
      </c>
      <c r="B33" s="6" t="inlineStr">
        <is>
          <t>Sol Centro Médico Estético</t>
        </is>
      </c>
      <c r="C33" s="6" t="inlineStr">
        <is>
          <t>Estética</t>
        </is>
      </c>
      <c r="D33" s="6" t="inlineStr">
        <is>
          <t>Calle del Doctor Cortezo, 15</t>
        </is>
      </c>
      <c r="E33" s="6" t="inlineStr">
        <is>
          <t>Embajadores</t>
        </is>
      </c>
      <c r="F33" s="6" t="inlineStr">
        <is>
          <t>Centro</t>
        </is>
      </c>
      <c r="G33" s="6" t="inlineStr"/>
      <c r="H33" s="7" t="inlineStr">
        <is>
          <t>NO</t>
        </is>
      </c>
      <c r="I33" s="6" t="inlineStr">
        <is>
          <t>Treatwell, Fresha, Facebook, salir.com</t>
        </is>
      </c>
      <c r="J33" s="6" t="inlineStr"/>
      <c r="K33" s="6" t="inlineStr"/>
      <c r="L33" s="5" t="inlineStr">
        <is>
          <t>Sí</t>
        </is>
      </c>
      <c r="M33" s="5" t="inlineStr">
        <is>
          <t>Alta</t>
        </is>
      </c>
      <c r="N33" s="6" t="inlineStr">
        <is>
          <t>Catálogo amplio; junto a Tirso de Molina</t>
        </is>
      </c>
    </row>
    <row r="34">
      <c r="A34" s="2" t="n">
        <v>33</v>
      </c>
      <c r="B34" s="3" t="inlineStr">
        <is>
          <t>Artepeine</t>
        </is>
      </c>
      <c r="C34" s="3" t="inlineStr">
        <is>
          <t>Estética</t>
        </is>
      </c>
      <c r="D34" s="3" t="inlineStr">
        <is>
          <t>Calle de Cartagena, 130</t>
        </is>
      </c>
      <c r="E34" s="3" t="inlineStr">
        <is>
          <t>Prosperidad</t>
        </is>
      </c>
      <c r="F34" s="3" t="inlineStr">
        <is>
          <t>Chamartín</t>
        </is>
      </c>
      <c r="G34" s="3" t="inlineStr"/>
      <c r="H34" s="4" t="inlineStr">
        <is>
          <t>NO</t>
        </is>
      </c>
      <c r="I34" s="3" t="inlineStr">
        <is>
          <t>Treatwell, Fresha</t>
        </is>
      </c>
      <c r="J34" s="3" t="inlineStr"/>
      <c r="K34" s="3" t="inlineStr"/>
      <c r="L34" s="2" t="inlineStr">
        <is>
          <t>Sí</t>
        </is>
      </c>
      <c r="M34" s="8" t="inlineStr">
        <is>
          <t>Media</t>
        </is>
      </c>
      <c r="N34" s="3" t="inlineStr">
        <is>
          <t>Junto al límite de la M-30: confirmar si te encaja la zona</t>
        </is>
      </c>
    </row>
    <row r="35">
      <c r="A35" s="5" t="n">
        <v>34</v>
      </c>
      <c r="B35" s="6" t="inlineStr">
        <is>
          <t>Smart Beauty Nail Spa &amp; Beauty Bar</t>
        </is>
      </c>
      <c r="C35" s="6" t="inlineStr">
        <is>
          <t>Estética</t>
        </is>
      </c>
      <c r="D35" s="6" t="inlineStr">
        <is>
          <t>El Viso — nº por confirmar</t>
        </is>
      </c>
      <c r="E35" s="6" t="inlineStr">
        <is>
          <t>El Viso</t>
        </is>
      </c>
      <c r="F35" s="6" t="inlineStr">
        <is>
          <t>Chamartín</t>
        </is>
      </c>
      <c r="G35" s="6" t="inlineStr"/>
      <c r="H35" s="7" t="inlineStr">
        <is>
          <t>NO</t>
        </is>
      </c>
      <c r="I35" s="6" t="inlineStr">
        <is>
          <t>Treatwell, Instagram (@smartbeautymadrid)</t>
        </is>
      </c>
      <c r="J35" s="6" t="inlineStr"/>
      <c r="K35" s="6" t="inlineStr"/>
      <c r="L35" s="5" t="inlineStr">
        <is>
          <t>Sí</t>
        </is>
      </c>
      <c r="M35" s="8" t="inlineStr">
        <is>
          <t>Media</t>
        </is>
      </c>
      <c r="N35" s="6" t="inlineStr">
        <is>
          <t>Falta dirección exacta</t>
        </is>
      </c>
    </row>
    <row r="36">
      <c r="A36" s="2" t="n">
        <v>35</v>
      </c>
      <c r="B36" s="3" t="inlineStr">
        <is>
          <t>Centro Médico Estético Cemeresi</t>
        </is>
      </c>
      <c r="C36" s="3" t="inlineStr">
        <is>
          <t>Estética</t>
        </is>
      </c>
      <c r="D36" s="3" t="inlineStr">
        <is>
          <t>Calle de Martín de los Heros, 62</t>
        </is>
      </c>
      <c r="E36" s="3" t="inlineStr">
        <is>
          <t>Argüelles</t>
        </is>
      </c>
      <c r="F36" s="3" t="inlineStr">
        <is>
          <t>Moncloa-Aravaca</t>
        </is>
      </c>
      <c r="G36" s="3" t="inlineStr">
        <is>
          <t>637687934</t>
        </is>
      </c>
      <c r="H36" s="4" t="inlineStr">
        <is>
          <t>NO</t>
        </is>
      </c>
      <c r="I36" s="3" t="inlineStr">
        <is>
          <t>Treatwell, Fresha, Facebook, qdq</t>
        </is>
      </c>
      <c r="J36" s="3" t="inlineStr">
        <is>
          <t>4.2</t>
        </is>
      </c>
      <c r="K36" s="3" t="inlineStr">
        <is>
          <t>125</t>
        </is>
      </c>
      <c r="L36" s="2" t="inlineStr">
        <is>
          <t>Sí</t>
        </is>
      </c>
      <c r="M36" s="2" t="inlineStr">
        <is>
          <t>Alta</t>
        </is>
      </c>
      <c r="N36" s="3" t="inlineStr">
        <is>
          <t>Otra fuente cita el nº 63 — confirmar portal</t>
        </is>
      </c>
    </row>
    <row r="37">
      <c r="A37" s="5" t="n">
        <v>36</v>
      </c>
      <c r="B37" s="6" t="inlineStr">
        <is>
          <t>Atelier de Uñas</t>
        </is>
      </c>
      <c r="C37" s="6" t="inlineStr">
        <is>
          <t>Estética</t>
        </is>
      </c>
      <c r="D37" s="6" t="inlineStr">
        <is>
          <t>Calle de Hilarión Eslava, 24</t>
        </is>
      </c>
      <c r="E37" s="6" t="inlineStr">
        <is>
          <t>Gaztambide</t>
        </is>
      </c>
      <c r="F37" s="6" t="inlineStr">
        <is>
          <t>Chamberí</t>
        </is>
      </c>
      <c r="G37" s="6" t="inlineStr"/>
      <c r="H37" s="7" t="inlineStr">
        <is>
          <t>NO</t>
        </is>
      </c>
      <c r="I37" s="6" t="inlineStr">
        <is>
          <t>Treatwell, Groupon</t>
        </is>
      </c>
      <c r="J37" s="6" t="inlineStr"/>
      <c r="K37" s="6" t="inlineStr"/>
      <c r="L37" s="5" t="inlineStr">
        <is>
          <t>Sí</t>
        </is>
      </c>
      <c r="M37" s="5" t="inlineStr">
        <is>
          <t>Alta</t>
        </is>
      </c>
      <c r="N37" s="6" t="inlineStr">
        <is>
          <t>Uñas, faciales y depilación</t>
        </is>
      </c>
    </row>
    <row r="38">
      <c r="A38" s="2" t="n">
        <v>37</v>
      </c>
      <c r="B38" s="3" t="inlineStr">
        <is>
          <t>Beauty Fit Club</t>
        </is>
      </c>
      <c r="C38" s="3" t="inlineStr">
        <is>
          <t>Estética</t>
        </is>
      </c>
      <c r="D38" s="3" t="inlineStr">
        <is>
          <t>Plaza de Santa Ana, 14 (dentro del Hotel ME, planta -1)</t>
        </is>
      </c>
      <c r="E38" s="3" t="inlineStr">
        <is>
          <t>Cortes</t>
        </is>
      </c>
      <c r="F38" s="3" t="inlineStr">
        <is>
          <t>Centro</t>
        </is>
      </c>
      <c r="G38" s="3" t="inlineStr"/>
      <c r="H38" s="4" t="inlineStr">
        <is>
          <t>NO</t>
        </is>
      </c>
      <c r="I38" s="3" t="inlineStr">
        <is>
          <t>Treatwell, Uala</t>
        </is>
      </c>
      <c r="J38" s="3" t="inlineStr"/>
      <c r="K38" s="3" t="inlineStr"/>
      <c r="L38" s="2" t="inlineStr">
        <is>
          <t>Sí</t>
        </is>
      </c>
      <c r="M38" s="2" t="inlineStr">
        <is>
          <t>Alta</t>
        </is>
      </c>
      <c r="N38" s="3" t="inlineStr">
        <is>
          <t>Ubicado dentro del Hotel ME</t>
        </is>
      </c>
    </row>
    <row r="39">
      <c r="A39" s="5" t="n">
        <v>38</v>
      </c>
      <c r="B39" s="6" t="inlineStr">
        <is>
          <t>Estética Paloma Molero</t>
        </is>
      </c>
      <c r="C39" s="6" t="inlineStr">
        <is>
          <t>Estética</t>
        </is>
      </c>
      <c r="D39" s="6" t="inlineStr">
        <is>
          <t>Calle Amor de Dios, 9</t>
        </is>
      </c>
      <c r="E39" s="6" t="inlineStr">
        <is>
          <t>Cortes</t>
        </is>
      </c>
      <c r="F39" s="6" t="inlineStr">
        <is>
          <t>Centro</t>
        </is>
      </c>
      <c r="G39" s="6" t="inlineStr">
        <is>
          <t>914294686</t>
        </is>
      </c>
      <c r="H39" s="7" t="inlineStr">
        <is>
          <t>NO</t>
        </is>
      </c>
      <c r="I39" s="6" t="inlineStr">
        <is>
          <t>Treatwell, Facebook, qdq, Barrio de las Letras</t>
        </is>
      </c>
      <c r="J39" s="6" t="inlineStr"/>
      <c r="K39" s="6" t="inlineStr"/>
      <c r="L39" s="5" t="inlineStr">
        <is>
          <t>Sí</t>
        </is>
      </c>
      <c r="M39" s="5" t="inlineStr">
        <is>
          <t>Alta</t>
        </is>
      </c>
      <c r="N39" s="6" t="inlineStr">
        <is>
          <t>Equipo pequeño, Barrio de las Letras</t>
        </is>
      </c>
    </row>
    <row r="40">
      <c r="A40" s="2" t="n">
        <v>39</v>
      </c>
      <c r="B40" s="3" t="inlineStr">
        <is>
          <t>José García Peluqueros</t>
        </is>
      </c>
      <c r="C40" s="3" t="inlineStr">
        <is>
          <t>Estética</t>
        </is>
      </c>
      <c r="D40" s="3" t="inlineStr">
        <is>
          <t>Calle del Doce de Octubre, 10</t>
        </is>
      </c>
      <c r="E40" s="3" t="inlineStr">
        <is>
          <t>Ibiza</t>
        </is>
      </c>
      <c r="F40" s="3" t="inlineStr">
        <is>
          <t>Retiro</t>
        </is>
      </c>
      <c r="G40" s="3" t="inlineStr"/>
      <c r="H40" s="4" t="inlineStr">
        <is>
          <t>NO</t>
        </is>
      </c>
      <c r="I40" s="3" t="inlineStr">
        <is>
          <t>Treatwell, Fresha</t>
        </is>
      </c>
      <c r="J40" s="3" t="inlineStr"/>
      <c r="K40" s="3" t="inlineStr"/>
      <c r="L40" s="2" t="inlineStr">
        <is>
          <t>Sí</t>
        </is>
      </c>
      <c r="M40" s="2" t="inlineStr">
        <is>
          <t>Alta</t>
        </is>
      </c>
      <c r="N40" s="3" t="inlineStr">
        <is>
          <t>Peluquería unisex, Loli y Jose</t>
        </is>
      </c>
    </row>
    <row r="41">
      <c r="A41" s="5" t="n">
        <v>40</v>
      </c>
      <c r="B41" s="6" t="inlineStr">
        <is>
          <t>Vasti JN Belleza &amp; Uñas</t>
        </is>
      </c>
      <c r="C41" s="6" t="inlineStr">
        <is>
          <t>Estética</t>
        </is>
      </c>
      <c r="D41" s="6" t="inlineStr">
        <is>
          <t>Av. de Menéndez Pelayo, 43</t>
        </is>
      </c>
      <c r="E41" s="6" t="inlineStr">
        <is>
          <t>Ibiza</t>
        </is>
      </c>
      <c r="F41" s="6" t="inlineStr">
        <is>
          <t>Retiro</t>
        </is>
      </c>
      <c r="G41" s="6" t="inlineStr"/>
      <c r="H41" s="7" t="inlineStr">
        <is>
          <t>NO</t>
        </is>
      </c>
      <c r="I41" s="6" t="inlineStr">
        <is>
          <t>Treatwell, Facebook, Instagram (@vasti_jn)</t>
        </is>
      </c>
      <c r="J41" s="6" t="inlineStr">
        <is>
          <t>4.9</t>
        </is>
      </c>
      <c r="K41" s="6" t="inlineStr">
        <is>
          <t>136</t>
        </is>
      </c>
      <c r="L41" s="5" t="inlineStr">
        <is>
          <t>Sí</t>
        </is>
      </c>
      <c r="M41" s="5" t="inlineStr">
        <is>
          <t>Alta</t>
        </is>
      </c>
      <c r="N41" s="6" t="inlineStr">
        <is>
          <t>Nail art; +1.500 seguidores en Instagram</t>
        </is>
      </c>
    </row>
    <row r="42">
      <c r="A42" s="2" t="n">
        <v>41</v>
      </c>
      <c r="B42" s="3" t="inlineStr">
        <is>
          <t>Andrea Nes Estética, Belleza y Bienestar</t>
        </is>
      </c>
      <c r="C42" s="3" t="inlineStr">
        <is>
          <t>Estética</t>
        </is>
      </c>
      <c r="D42" s="3" t="inlineStr">
        <is>
          <t>Barrio de Ibiza (junto a metro Ibiza) — nº por confirmar</t>
        </is>
      </c>
      <c r="E42" s="3" t="inlineStr">
        <is>
          <t>Ibiza</t>
        </is>
      </c>
      <c r="F42" s="3" t="inlineStr">
        <is>
          <t>Retiro</t>
        </is>
      </c>
      <c r="G42" s="3" t="inlineStr"/>
      <c r="H42" s="4" t="inlineStr">
        <is>
          <t>NO</t>
        </is>
      </c>
      <c r="I42" s="3" t="inlineStr">
        <is>
          <t>Treatwell</t>
        </is>
      </c>
      <c r="J42" s="3" t="inlineStr"/>
      <c r="K42" s="3" t="inlineStr"/>
      <c r="L42" s="2" t="inlineStr">
        <is>
          <t>Sí</t>
        </is>
      </c>
      <c r="M42" s="8" t="inlineStr">
        <is>
          <t>Media</t>
        </is>
      </c>
      <c r="N42" s="3" t="inlineStr">
        <is>
          <t>Falta dirección exacta</t>
        </is>
      </c>
    </row>
    <row r="43">
      <c r="A43" s="5" t="n">
        <v>42</v>
      </c>
      <c r="B43" s="6" t="inlineStr">
        <is>
          <t>Nadia Beauty Social Center</t>
        </is>
      </c>
      <c r="C43" s="6" t="inlineStr">
        <is>
          <t>Estética</t>
        </is>
      </c>
      <c r="D43" s="6" t="inlineStr">
        <is>
          <t>Calle de Donoso Cortés, 88</t>
        </is>
      </c>
      <c r="E43" s="6" t="inlineStr">
        <is>
          <t>Gaztambide</t>
        </is>
      </c>
      <c r="F43" s="6" t="inlineStr">
        <is>
          <t>Chamberí</t>
        </is>
      </c>
      <c r="G43" s="6" t="inlineStr">
        <is>
          <t>910968249</t>
        </is>
      </c>
      <c r="H43" s="7" t="inlineStr">
        <is>
          <t>NO</t>
        </is>
      </c>
      <c r="I43" s="6" t="inlineStr">
        <is>
          <t>Treatwell, Facebook, Instagram (@nadiabsc), Groupon</t>
        </is>
      </c>
      <c r="J43" s="6" t="inlineStr"/>
      <c r="K43" s="6" t="inlineStr"/>
      <c r="L43" s="5" t="inlineStr">
        <is>
          <t>Sí</t>
        </is>
      </c>
      <c r="M43" s="5" t="inlineStr">
        <is>
          <t>Alta</t>
        </is>
      </c>
      <c r="N43" s="6" t="inlineStr">
        <is>
          <t>Peluquería + estética + hammam</t>
        </is>
      </c>
    </row>
    <row r="44">
      <c r="A44" s="2" t="n">
        <v>43</v>
      </c>
      <c r="B44" s="3" t="inlineStr">
        <is>
          <t>Reflejos</t>
        </is>
      </c>
      <c r="C44" s="3" t="inlineStr">
        <is>
          <t>Estética</t>
        </is>
      </c>
      <c r="D44" s="3" t="inlineStr">
        <is>
          <t>Calle de Gaztambide, 69</t>
        </is>
      </c>
      <c r="E44" s="3" t="inlineStr">
        <is>
          <t>Gaztambide</t>
        </is>
      </c>
      <c r="F44" s="3" t="inlineStr">
        <is>
          <t>Chamberí</t>
        </is>
      </c>
      <c r="G44" s="3" t="inlineStr"/>
      <c r="H44" s="4" t="inlineStr">
        <is>
          <t>NO</t>
        </is>
      </c>
      <c r="I44" s="3" t="inlineStr">
        <is>
          <t>Treatwell</t>
        </is>
      </c>
      <c r="J44" s="3" t="inlineStr"/>
      <c r="K44" s="3" t="inlineStr"/>
      <c r="L44" s="2" t="inlineStr">
        <is>
          <t>Sí</t>
        </is>
      </c>
      <c r="M44" s="8" t="inlineStr">
        <is>
          <t>Media</t>
        </is>
      </c>
      <c r="N44" s="3" t="inlineStr">
        <is>
          <t>Otra fuente cita C/ Andrés Mellado 61 — confirmar</t>
        </is>
      </c>
    </row>
    <row r="45">
      <c r="A45" s="5" t="n">
        <v>44</v>
      </c>
      <c r="B45" s="6" t="inlineStr">
        <is>
          <t>Lisset Diaz Estética Avanzada</t>
        </is>
      </c>
      <c r="C45" s="6" t="inlineStr">
        <is>
          <t>Estética</t>
        </is>
      </c>
      <c r="D45" s="6" t="inlineStr">
        <is>
          <t>Calle de Alejandro González, 9, local 4</t>
        </is>
      </c>
      <c r="E45" s="6" t="inlineStr">
        <is>
          <t>Fuente del Berro</t>
        </is>
      </c>
      <c r="F45" s="6" t="inlineStr">
        <is>
          <t>Salamanca</t>
        </is>
      </c>
      <c r="G45" s="6" t="inlineStr">
        <is>
          <t>657788150</t>
        </is>
      </c>
      <c r="H45" s="7" t="inlineStr">
        <is>
          <t>NO</t>
        </is>
      </c>
      <c r="I45" s="6" t="inlineStr">
        <is>
          <t>Fresha, Facebook</t>
        </is>
      </c>
      <c r="J45" s="6" t="inlineStr"/>
      <c r="K45" s="6" t="inlineStr"/>
      <c r="L45" s="5" t="inlineStr">
        <is>
          <t>Sí</t>
        </is>
      </c>
      <c r="M45" s="5" t="inlineStr">
        <is>
          <t>Alta</t>
        </is>
      </c>
      <c r="N45" s="6" t="inlineStr">
        <is>
          <t>Abre de lunes a sábado 9-20h</t>
        </is>
      </c>
    </row>
    <row r="46">
      <c r="A46" s="2" t="n">
        <v>45</v>
      </c>
      <c r="B46" s="3" t="inlineStr">
        <is>
          <t>Angeles Beauty &amp; Nails</t>
        </is>
      </c>
      <c r="C46" s="3" t="inlineStr">
        <is>
          <t>Estética</t>
        </is>
      </c>
      <c r="D46" s="3" t="inlineStr">
        <is>
          <t>Calle de Andrés Mellado, 24</t>
        </is>
      </c>
      <c r="E46" s="3" t="inlineStr">
        <is>
          <t>Gaztambide</t>
        </is>
      </c>
      <c r="F46" s="3" t="inlineStr">
        <is>
          <t>Chamberí</t>
        </is>
      </c>
      <c r="G46" s="3" t="inlineStr"/>
      <c r="H46" s="4" t="inlineStr">
        <is>
          <t>NO</t>
        </is>
      </c>
      <c r="I46" s="3" t="inlineStr">
        <is>
          <t>Treatwell</t>
        </is>
      </c>
      <c r="J46" s="3" t="inlineStr"/>
      <c r="K46" s="3" t="inlineStr"/>
      <c r="L46" s="2" t="inlineStr">
        <is>
          <t>Sí</t>
        </is>
      </c>
      <c r="M46" s="8" t="inlineStr">
        <is>
          <t>Media</t>
        </is>
      </c>
      <c r="N46" s="3" t="inlineStr">
        <is>
          <t>Aparece no disponible en Treatwell: confirmar apertura</t>
        </is>
      </c>
    </row>
    <row r="47">
      <c r="A47" s="5" t="n">
        <v>46</v>
      </c>
      <c r="B47" s="6" t="inlineStr">
        <is>
          <t>Alta Peluquería</t>
        </is>
      </c>
      <c r="C47" s="6" t="inlineStr">
        <is>
          <t>Estética</t>
        </is>
      </c>
      <c r="D47" s="6" t="inlineStr">
        <is>
          <t>Calle de Andrés Mellado, 61D</t>
        </is>
      </c>
      <c r="E47" s="6" t="inlineStr">
        <is>
          <t>Gaztambide</t>
        </is>
      </c>
      <c r="F47" s="6" t="inlineStr">
        <is>
          <t>Chamberí</t>
        </is>
      </c>
      <c r="G47" s="6" t="inlineStr"/>
      <c r="H47" s="7" t="inlineStr">
        <is>
          <t>NO</t>
        </is>
      </c>
      <c r="I47" s="6" t="inlineStr">
        <is>
          <t>Fresha (ficha no gestionada por el negocio)</t>
        </is>
      </c>
      <c r="J47" s="6" t="inlineStr"/>
      <c r="K47" s="6" t="inlineStr"/>
      <c r="L47" s="5" t="inlineStr">
        <is>
          <t>Sí</t>
        </is>
      </c>
      <c r="M47" s="8" t="inlineStr">
        <is>
          <t>Media</t>
        </is>
      </c>
      <c r="N47" s="6" t="inlineStr">
        <is>
          <t>Ficha sin gestionar: señal de baja digitalización</t>
        </is>
      </c>
    </row>
    <row r="48">
      <c r="A48" s="2" t="n">
        <v>47</v>
      </c>
      <c r="B48" s="3" t="inlineStr">
        <is>
          <t>Clínica Dental KS</t>
        </is>
      </c>
      <c r="C48" s="3" t="inlineStr">
        <is>
          <t>Dental</t>
        </is>
      </c>
      <c r="D48" s="3" t="inlineStr">
        <is>
          <t>Paseo de las Delicias, 63</t>
        </is>
      </c>
      <c r="E48" s="3" t="inlineStr">
        <is>
          <t>Legazpi</t>
        </is>
      </c>
      <c r="F48" s="3" t="inlineStr">
        <is>
          <t>Arganzuela</t>
        </is>
      </c>
      <c r="G48" s="3" t="inlineStr">
        <is>
          <t>915286013</t>
        </is>
      </c>
      <c r="H48" s="4" t="inlineStr">
        <is>
          <t>NO</t>
        </is>
      </c>
      <c r="I48" s="3" t="inlineStr">
        <is>
          <t>Páginas Amarillas, directorios dentales</t>
        </is>
      </c>
      <c r="J48" s="3" t="inlineStr"/>
      <c r="K48" s="3" t="inlineStr"/>
      <c r="L48" s="2" t="inlineStr">
        <is>
          <t>Sí</t>
        </is>
      </c>
      <c r="M48" s="2" t="inlineStr">
        <is>
          <t>Alta</t>
        </is>
      </c>
      <c r="N48" s="3" t="inlineStr">
        <is>
          <t>Implantes, ortodoncia, Invisalign. Sin web propia</t>
        </is>
      </c>
    </row>
    <row r="49">
      <c r="A49" s="5" t="n">
        <v>48</v>
      </c>
      <c r="B49" s="6" t="inlineStr">
        <is>
          <t>Amada Díaz Gavilán — Clínica Dental</t>
        </is>
      </c>
      <c r="C49" s="6" t="inlineStr">
        <is>
          <t>Dental</t>
        </is>
      </c>
      <c r="D49" s="6" t="inlineStr">
        <is>
          <t>Paseo de las Delicias, 139</t>
        </is>
      </c>
      <c r="E49" s="6" t="inlineStr">
        <is>
          <t>Legazpi</t>
        </is>
      </c>
      <c r="F49" s="6" t="inlineStr">
        <is>
          <t>Arganzuela</t>
        </is>
      </c>
      <c r="G49" s="6" t="inlineStr">
        <is>
          <t>914680603</t>
        </is>
      </c>
      <c r="H49" s="7" t="inlineStr">
        <is>
          <t>NO</t>
        </is>
      </c>
      <c r="I49" s="6" t="inlineStr">
        <is>
          <t>Páginas Amarillas, masquemedicos, eldentista</t>
        </is>
      </c>
      <c r="J49" s="6" t="inlineStr"/>
      <c r="K49" s="6" t="inlineStr"/>
      <c r="L49" s="5" t="inlineStr">
        <is>
          <t>Sí</t>
        </is>
      </c>
      <c r="M49" s="5" t="inlineStr">
        <is>
          <t>Alta</t>
        </is>
      </c>
      <c r="N49" s="6" t="inlineStr">
        <is>
          <t>Prótesis, periodoncia, implantes</t>
        </is>
      </c>
    </row>
    <row r="50">
      <c r="A50" s="2" t="n">
        <v>49</v>
      </c>
      <c r="B50" s="3" t="inlineStr">
        <is>
          <t>Clínica Dental Chamberí Hernadent</t>
        </is>
      </c>
      <c r="C50" s="3" t="inlineStr">
        <is>
          <t>Dental</t>
        </is>
      </c>
      <c r="D50" s="3" t="inlineStr">
        <is>
          <t>Calle de Fernando el Católico, 36</t>
        </is>
      </c>
      <c r="E50" s="3" t="inlineStr">
        <is>
          <t>Gaztambide</t>
        </is>
      </c>
      <c r="F50" s="3" t="inlineStr">
        <is>
          <t>Chamberí</t>
        </is>
      </c>
      <c r="G50" s="3" t="inlineStr">
        <is>
          <t>914542142</t>
        </is>
      </c>
      <c r="H50" s="4" t="inlineStr">
        <is>
          <t>NO</t>
        </is>
      </c>
      <c r="I50" s="3" t="inlineStr">
        <is>
          <t>Páginas Amarillas, DocDental, qdq</t>
        </is>
      </c>
      <c r="J50" s="3" t="inlineStr"/>
      <c r="K50" s="3" t="inlineStr">
        <is>
          <t>44</t>
        </is>
      </c>
      <c r="L50" s="2" t="inlineStr">
        <is>
          <t>Sí</t>
        </is>
      </c>
      <c r="M50" s="2" t="inlineStr">
        <is>
          <t>Alta</t>
        </is>
      </c>
      <c r="N50" s="3" t="inlineStr">
        <is>
          <t>+30 años. Solo fichas en directorios</t>
        </is>
      </c>
    </row>
    <row r="51">
      <c r="A51" s="5" t="n">
        <v>50</v>
      </c>
      <c r="B51" s="6" t="inlineStr">
        <is>
          <t>Herrero Guillén y Cuadrado Fidalgo C.B.</t>
        </is>
      </c>
      <c r="C51" s="6" t="inlineStr">
        <is>
          <t>Dental</t>
        </is>
      </c>
      <c r="D51" s="6" t="inlineStr">
        <is>
          <t>Calle de Embajadores, 177, esc. B, 1º-F</t>
        </is>
      </c>
      <c r="E51" s="6" t="inlineStr">
        <is>
          <t>Legazpi</t>
        </is>
      </c>
      <c r="F51" s="6" t="inlineStr">
        <is>
          <t>Arganzuela</t>
        </is>
      </c>
      <c r="G51" s="6" t="inlineStr">
        <is>
          <t>915395590</t>
        </is>
      </c>
      <c r="H51" s="7" t="inlineStr">
        <is>
          <t>NO</t>
        </is>
      </c>
      <c r="I51" s="6" t="inlineStr">
        <is>
          <t>Doctoralia, Páginas Amarillas, qdq, Empresite</t>
        </is>
      </c>
      <c r="J51" s="6" t="inlineStr"/>
      <c r="K51" s="6" t="inlineStr"/>
      <c r="L51" s="5" t="inlineStr">
        <is>
          <t>Sí</t>
        </is>
      </c>
      <c r="M51" s="5" t="inlineStr">
        <is>
          <t>Alta</t>
        </is>
      </c>
      <c r="N51" s="6" t="inlineStr">
        <is>
          <t>Clínica dental pequeña, sin presencia web</t>
        </is>
      </c>
    </row>
    <row r="52">
      <c r="A52" s="2" t="n">
        <v>51</v>
      </c>
      <c r="B52" s="3" t="inlineStr">
        <is>
          <t>Consultas Médicas (Fisioterapia)</t>
        </is>
      </c>
      <c r="C52" s="3" t="inlineStr">
        <is>
          <t>Fisioterapia</t>
        </is>
      </c>
      <c r="D52" s="3" t="inlineStr">
        <is>
          <t>Calle del General Castaños, 13, 2º dcha</t>
        </is>
      </c>
      <c r="E52" s="3" t="inlineStr">
        <is>
          <t>Justicia</t>
        </is>
      </c>
      <c r="F52" s="3" t="inlineStr">
        <is>
          <t>Centro</t>
        </is>
      </c>
      <c r="G52" s="3" t="inlineStr">
        <is>
          <t>913191370 / 675534855</t>
        </is>
      </c>
      <c r="H52" s="4" t="inlineStr">
        <is>
          <t>NO</t>
        </is>
      </c>
      <c r="I52" s="3" t="inlineStr">
        <is>
          <t>eFisioterapia, qdq</t>
        </is>
      </c>
      <c r="J52" s="3" t="inlineStr"/>
      <c r="K52" s="3" t="inlineStr"/>
      <c r="L52" s="2" t="inlineStr">
        <is>
          <t>Sí</t>
        </is>
      </c>
      <c r="M52" s="2" t="inlineStr">
        <is>
          <t>Alta</t>
        </is>
      </c>
      <c r="N52" s="3" t="inlineStr">
        <is>
          <t>Sesión individual de 1 h; bonos de 5, 10 y 30. También a domicilio</t>
        </is>
      </c>
    </row>
    <row r="53">
      <c r="A53" s="5" t="n">
        <v>52</v>
      </c>
      <c r="B53" s="6" t="inlineStr">
        <is>
          <t>Tu&amp;Fisio — Gabinete de Fisioterapia y Pilates</t>
        </is>
      </c>
      <c r="C53" s="6" t="inlineStr">
        <is>
          <t>Fisioterapia</t>
        </is>
      </c>
      <c r="D53" s="6" t="inlineStr">
        <is>
          <t>Calle de Granada, 57, bajo izq.</t>
        </is>
      </c>
      <c r="E53" s="6" t="inlineStr">
        <is>
          <t>Pacífico</t>
        </is>
      </c>
      <c r="F53" s="6" t="inlineStr">
        <is>
          <t>Retiro</t>
        </is>
      </c>
      <c r="G53" s="6" t="inlineStr">
        <is>
          <t>915012035</t>
        </is>
      </c>
      <c r="H53" s="7" t="inlineStr">
        <is>
          <t>NO</t>
        </is>
      </c>
      <c r="I53" s="6" t="inlineStr">
        <is>
          <t>eFisioterapia, Fisiosite, Páginas Amarillas</t>
        </is>
      </c>
      <c r="J53" s="6" t="inlineStr"/>
      <c r="K53" s="6" t="inlineStr"/>
      <c r="L53" s="5" t="inlineStr">
        <is>
          <t>Sí</t>
        </is>
      </c>
      <c r="M53" s="5" t="inlineStr">
        <is>
          <t>Alta</t>
        </is>
      </c>
      <c r="N53" s="6" t="inlineStr">
        <is>
          <t>Fisioterapia + pilates. Sábados con cita previa</t>
        </is>
      </c>
    </row>
    <row r="54">
      <c r="A54" s="2" t="n">
        <v>53</v>
      </c>
      <c r="B54" s="3" t="inlineStr">
        <is>
          <t>Clínica Ibiza 74</t>
        </is>
      </c>
      <c r="C54" s="3" t="inlineStr">
        <is>
          <t>Fisioterapia</t>
        </is>
      </c>
      <c r="D54" s="3" t="inlineStr">
        <is>
          <t>Calle de Ibiza, 74, 2º E</t>
        </is>
      </c>
      <c r="E54" s="3" t="inlineStr">
        <is>
          <t>Ibiza</t>
        </is>
      </c>
      <c r="F54" s="3" t="inlineStr">
        <is>
          <t>Retiro</t>
        </is>
      </c>
      <c r="G54" s="3" t="inlineStr">
        <is>
          <t>915571190</t>
        </is>
      </c>
      <c r="H54" s="4" t="inlineStr">
        <is>
          <t>NO</t>
        </is>
      </c>
      <c r="I54" s="3" t="inlineStr">
        <is>
          <t>eFisioterapia</t>
        </is>
      </c>
      <c r="J54" s="3" t="inlineStr"/>
      <c r="K54" s="3" t="inlineStr"/>
      <c r="L54" s="2" t="inlineStr">
        <is>
          <t>Sí</t>
        </is>
      </c>
      <c r="M54" s="2" t="inlineStr">
        <is>
          <t>Alta</t>
        </is>
      </c>
      <c r="N54" s="3" t="inlineStr">
        <is>
          <t>Fisioterapia y osteopatía; suelo pélvico, podoactiva, pilates</t>
        </is>
      </c>
    </row>
    <row r="55">
      <c r="A55" s="5" t="n">
        <v>54</v>
      </c>
      <c r="B55" s="6" t="inlineStr">
        <is>
          <t>Fisio Juventus</t>
        </is>
      </c>
      <c r="C55" s="6" t="inlineStr">
        <is>
          <t>Fisioterapia</t>
        </is>
      </c>
      <c r="D55" s="6" t="inlineStr">
        <is>
          <t>Calle de Gaztambide, 43</t>
        </is>
      </c>
      <c r="E55" s="6" t="inlineStr">
        <is>
          <t>Gaztambide</t>
        </is>
      </c>
      <c r="F55" s="6" t="inlineStr">
        <is>
          <t>Chamberí</t>
        </is>
      </c>
      <c r="G55" s="6" t="inlineStr">
        <is>
          <t>910327161</t>
        </is>
      </c>
      <c r="H55" s="7" t="inlineStr">
        <is>
          <t>NO</t>
        </is>
      </c>
      <c r="I55" s="6" t="inlineStr">
        <is>
          <t>eFisioterapia, Facebook</t>
        </is>
      </c>
      <c r="J55" s="6" t="inlineStr"/>
      <c r="K55" s="6" t="inlineStr"/>
      <c r="L55" s="5" t="inlineStr">
        <is>
          <t>Sí</t>
        </is>
      </c>
      <c r="M55" s="5" t="inlineStr">
        <is>
          <t>Alta</t>
        </is>
      </c>
      <c r="N55" s="6" t="inlineStr">
        <is>
          <t>Solo Facebook como presencia propia</t>
        </is>
      </c>
    </row>
    <row r="57">
      <c r="B57" s="9" t="inlineStr">
        <is>
          <t>RESUMEN</t>
        </is>
      </c>
      <c r="D57" t="n"/>
    </row>
    <row r="58">
      <c r="B58" s="10" t="inlineStr">
        <is>
          <t>Total de leads verificados sin web propia</t>
        </is>
      </c>
      <c r="C58" s="11">
        <f>COUNTA(B2:B55)</f>
        <v/>
      </c>
    </row>
    <row r="59">
      <c r="B59" s="10" t="inlineStr">
        <is>
          <t>De los cuales, estética / belleza</t>
        </is>
      </c>
      <c r="C59" s="11">
        <f>COUNTIF(C2:C55,"Estética")</f>
        <v/>
      </c>
    </row>
    <row r="60">
      <c r="B60" s="10" t="inlineStr">
        <is>
          <t>De los cuales, clínicas dentales</t>
        </is>
      </c>
      <c r="C60" s="11">
        <f>COUNTIF(C2:C55,"Dental")</f>
        <v/>
      </c>
    </row>
    <row r="61">
      <c r="B61" s="10" t="inlineStr">
        <is>
          <t>De los cuales, fisioterapia</t>
        </is>
      </c>
      <c r="C61" s="11">
        <f>COUNTIF(C2:C55,"Fisioterapia")</f>
        <v/>
      </c>
    </row>
    <row r="62">
      <c r="B62" s="10" t="inlineStr">
        <is>
          <t>Fichas con dato de alta fiabilidad</t>
        </is>
      </c>
      <c r="C62" s="11">
        <f>COUNTIF(M2:M55,"Alta")</f>
        <v/>
      </c>
    </row>
    <row r="63">
      <c r="B63" s="10" t="inlineStr">
        <is>
          <t>Fichas a confirmar antes de contactar</t>
        </is>
      </c>
      <c r="C63" s="11">
        <f>COUNTIF(M2:M55,"Media")</f>
        <v/>
      </c>
    </row>
    <row r="64">
      <c r="B64" s="10" t="inlineStr">
        <is>
          <t>Con teléfono directo disponible</t>
        </is>
      </c>
      <c r="C64" s="11">
        <f>COUNTA(G2:G55)</f>
        <v/>
      </c>
    </row>
  </sheetData>
  <autoFilter ref="A1:N55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44" customWidth="1" min="4" max="4"/>
    <col width="38" customWidth="1" min="5" max="5"/>
  </cols>
  <sheetData>
    <row r="1">
      <c r="A1" s="12" t="inlineStr">
        <is>
          <t>Nº</t>
        </is>
      </c>
      <c r="B1" s="12" t="inlineStr">
        <is>
          <t>Nombre</t>
        </is>
      </c>
      <c r="C1" s="12" t="inlineStr">
        <is>
          <t>Categoría</t>
        </is>
      </c>
      <c r="D1" s="12" t="inlineStr">
        <is>
          <t>Dirección</t>
        </is>
      </c>
      <c r="E1" s="12" t="inlineStr">
        <is>
          <t>Web encontrada</t>
        </is>
      </c>
    </row>
    <row r="2">
      <c r="A2" s="13" t="n">
        <v>1</v>
      </c>
      <c r="B2" s="3" t="inlineStr">
        <is>
          <t>Clínica Dental CIED</t>
        </is>
      </c>
      <c r="C2" s="3" t="inlineStr">
        <is>
          <t>Dental</t>
        </is>
      </c>
      <c r="D2" s="3" t="inlineStr">
        <is>
          <t>Calle de Espronceda, 19</t>
        </is>
      </c>
      <c r="E2" s="3" t="inlineStr">
        <is>
          <t>clinicacied.es</t>
        </is>
      </c>
    </row>
    <row r="3">
      <c r="A3" s="14" t="n">
        <v>2</v>
      </c>
      <c r="B3" s="6" t="inlineStr">
        <is>
          <t>Ánima Fisioterapia</t>
        </is>
      </c>
      <c r="C3" s="6" t="inlineStr">
        <is>
          <t>Fisioterapia</t>
        </is>
      </c>
      <c r="D3" s="6" t="inlineStr">
        <is>
          <t>Calle de la Sombrerería, 7</t>
        </is>
      </c>
      <c r="E3" s="6" t="inlineStr">
        <is>
          <t>animafisioterapia.com</t>
        </is>
      </c>
    </row>
    <row r="4">
      <c r="A4" s="13" t="n">
        <v>3</v>
      </c>
      <c r="B4" s="3" t="inlineStr">
        <is>
          <t>Be Beauty Chamberí</t>
        </is>
      </c>
      <c r="C4" s="3" t="inlineStr">
        <is>
          <t>Estética</t>
        </is>
      </c>
      <c r="D4" s="3" t="inlineStr">
        <is>
          <t>Calle de Santa Engracia, 61</t>
        </is>
      </c>
      <c r="E4" s="3" t="inlineStr">
        <is>
          <t>be-beauty.es</t>
        </is>
      </c>
    </row>
    <row r="5">
      <c r="A5" s="14" t="n">
        <v>4</v>
      </c>
      <c r="B5" s="6" t="inlineStr">
        <is>
          <t>Centro Estética El Pilar</t>
        </is>
      </c>
      <c r="C5" s="6" t="inlineStr">
        <is>
          <t>Estética</t>
        </is>
      </c>
      <c r="D5" s="6" t="inlineStr">
        <is>
          <t>Calle de Modesto Lafuente, 57</t>
        </is>
      </c>
      <c r="E5" s="6" t="inlineStr">
        <is>
          <t>centroesteticaelpilar.com</t>
        </is>
      </c>
    </row>
    <row r="6">
      <c r="A6" s="13" t="n">
        <v>5</v>
      </c>
      <c r="B6" s="3" t="inlineStr">
        <is>
          <t>Clínica del Casar</t>
        </is>
      </c>
      <c r="C6" s="3" t="inlineStr">
        <is>
          <t>Fisioterapia</t>
        </is>
      </c>
      <c r="D6" s="3" t="inlineStr">
        <is>
          <t>Calle de Valencia, 30</t>
        </is>
      </c>
      <c r="E6" s="3" t="inlineStr">
        <is>
          <t>clinicadelcasarlavapies.es</t>
        </is>
      </c>
    </row>
    <row r="7">
      <c r="A7" s="14" t="n">
        <v>6</v>
      </c>
      <c r="B7" s="6" t="inlineStr">
        <is>
          <t>Microskin Studio</t>
        </is>
      </c>
      <c r="C7" s="6" t="inlineStr">
        <is>
          <t>Estética</t>
        </is>
      </c>
      <c r="D7" s="6" t="inlineStr">
        <is>
          <t>Calle de Ibiza, 35</t>
        </is>
      </c>
      <c r="E7" s="6" t="inlineStr">
        <is>
          <t>microskinstudio.es</t>
        </is>
      </c>
    </row>
    <row r="8">
      <c r="A8" s="13" t="n">
        <v>7</v>
      </c>
      <c r="B8" s="3" t="inlineStr">
        <is>
          <t>Intissar Beauty</t>
        </is>
      </c>
      <c r="C8" s="3" t="inlineStr">
        <is>
          <t>Estética</t>
        </is>
      </c>
      <c r="D8" s="3" t="inlineStr">
        <is>
          <t>Calle de Padilla, 4</t>
        </is>
      </c>
      <c r="E8" s="3" t="inlineStr">
        <is>
          <t>intissarbeauty.com</t>
        </is>
      </c>
    </row>
    <row r="9">
      <c r="A9" s="14" t="n">
        <v>8</v>
      </c>
      <c r="B9" s="6" t="inlineStr">
        <is>
          <t>Petit Glamour</t>
        </is>
      </c>
      <c r="C9" s="6" t="inlineStr">
        <is>
          <t>Estética</t>
        </is>
      </c>
      <c r="D9" s="6" t="inlineStr">
        <is>
          <t>Paseo de las Delicias, 138</t>
        </is>
      </c>
      <c r="E9" s="6" t="inlineStr">
        <is>
          <t>petitglamour.es</t>
        </is>
      </c>
    </row>
    <row r="10">
      <c r="A10" s="13" t="n">
        <v>9</v>
      </c>
      <c r="B10" s="3" t="inlineStr">
        <is>
          <t>María Jesús Andrés Estética</t>
        </is>
      </c>
      <c r="C10" s="3" t="inlineStr">
        <is>
          <t>Estética</t>
        </is>
      </c>
      <c r="D10" s="3" t="inlineStr">
        <is>
          <t>Calle de Manuela Malasaña, 28</t>
        </is>
      </c>
      <c r="E10" s="3" t="inlineStr">
        <is>
          <t>mariajesus-estetica.es</t>
        </is>
      </c>
    </row>
    <row r="11">
      <c r="A11" s="14" t="n">
        <v>10</v>
      </c>
      <c r="B11" s="6" t="inlineStr">
        <is>
          <t>Centro de Belleza Mª Ángeles Cámara</t>
        </is>
      </c>
      <c r="C11" s="6" t="inlineStr">
        <is>
          <t>Estética</t>
        </is>
      </c>
      <c r="D11" s="6" t="inlineStr">
        <is>
          <t>Paseo de las Acacias, 50</t>
        </is>
      </c>
      <c r="E11" s="6" t="inlineStr">
        <is>
          <t>esteticaenmadrid.net</t>
        </is>
      </c>
    </row>
    <row r="12">
      <c r="A12" s="13" t="n">
        <v>11</v>
      </c>
      <c r="B12" s="3" t="inlineStr">
        <is>
          <t>Centro Médico Estético Arganzuela</t>
        </is>
      </c>
      <c r="C12" s="3" t="inlineStr">
        <is>
          <t>Estética</t>
        </is>
      </c>
      <c r="D12" s="3" t="inlineStr">
        <is>
          <t>Calle de Bolívar, 26</t>
        </is>
      </c>
      <c r="E12" s="3" t="inlineStr">
        <is>
          <t>centromedicoesteticoarganzuela.es</t>
        </is>
      </c>
    </row>
    <row r="13">
      <c r="A13" s="14" t="n">
        <v>12</v>
      </c>
      <c r="B13" s="6" t="inlineStr">
        <is>
          <t>Cuore Me</t>
        </is>
      </c>
      <c r="C13" s="6" t="inlineStr">
        <is>
          <t>Estética</t>
        </is>
      </c>
      <c r="D13" s="6" t="inlineStr">
        <is>
          <t>Calle de Jaén, 22</t>
        </is>
      </c>
      <c r="E13" s="6" t="inlineStr">
        <is>
          <t>cuoreme.es</t>
        </is>
      </c>
    </row>
    <row r="14">
      <c r="A14" s="13" t="n">
        <v>13</v>
      </c>
      <c r="B14" s="3" t="inlineStr">
        <is>
          <t>Sandra Escobar Micro &amp; Beauty</t>
        </is>
      </c>
      <c r="C14" s="3" t="inlineStr">
        <is>
          <t>Estética</t>
        </is>
      </c>
      <c r="D14" s="3" t="inlineStr">
        <is>
          <t>Argüelles (Marqués de Urquijo)</t>
        </is>
      </c>
      <c r="E14" s="3" t="inlineStr">
        <is>
          <t>microbeautyse.com</t>
        </is>
      </c>
    </row>
    <row r="15">
      <c r="A15" s="14" t="n">
        <v>14</v>
      </c>
      <c r="B15" s="6" t="inlineStr">
        <is>
          <t>Esthepil</t>
        </is>
      </c>
      <c r="C15" s="6" t="inlineStr">
        <is>
          <t>Estética</t>
        </is>
      </c>
      <c r="D15" s="6" t="inlineStr">
        <is>
          <t>Calle de San Cosme y San Damián, 18</t>
        </is>
      </c>
      <c r="E15" s="6" t="inlineStr">
        <is>
          <t>esthepil.com</t>
        </is>
      </c>
    </row>
    <row r="16">
      <c r="A16" s="13" t="n">
        <v>15</v>
      </c>
      <c r="B16" s="3" t="inlineStr">
        <is>
          <t>Miu Beauty Concept</t>
        </is>
      </c>
      <c r="C16" s="3" t="inlineStr">
        <is>
          <t>Estética</t>
        </is>
      </c>
      <c r="D16" s="3" t="inlineStr">
        <is>
          <t>Calle del Doctor Fourquet, 39</t>
        </is>
      </c>
      <c r="E16" s="3" t="inlineStr">
        <is>
          <t>miubeauty.es</t>
        </is>
      </c>
    </row>
    <row r="17">
      <c r="A17" s="14" t="n">
        <v>16</v>
      </c>
      <c r="B17" s="6" t="inlineStr">
        <is>
          <t>Laser Natura Chueca</t>
        </is>
      </c>
      <c r="C17" s="6" t="inlineStr">
        <is>
          <t>Estética</t>
        </is>
      </c>
      <c r="D17" s="6" t="inlineStr">
        <is>
          <t>Calle de San Bartolomé, 12</t>
        </is>
      </c>
      <c r="E17" s="6" t="inlineStr">
        <is>
          <t>lasernatura.com</t>
        </is>
      </c>
    </row>
    <row r="18">
      <c r="A18" s="13" t="n">
        <v>17</v>
      </c>
      <c r="B18" s="3" t="inlineStr">
        <is>
          <t>Violette La Chambérienne</t>
        </is>
      </c>
      <c r="C18" s="3" t="inlineStr">
        <is>
          <t>Estética</t>
        </is>
      </c>
      <c r="D18" s="3" t="inlineStr">
        <is>
          <t>Calle de Bravo Murillo, 9</t>
        </is>
      </c>
      <c r="E18" s="3" t="inlineStr">
        <is>
          <t>violettelc.com</t>
        </is>
      </c>
    </row>
    <row r="19">
      <c r="A19" s="14" t="n">
        <v>18</v>
      </c>
      <c r="B19" s="6" t="inlineStr">
        <is>
          <t>Renovación Peluqueros / Ella &amp; El</t>
        </is>
      </c>
      <c r="C19" s="6" t="inlineStr">
        <is>
          <t>Estética</t>
        </is>
      </c>
      <c r="D19" s="6" t="inlineStr">
        <is>
          <t>Calle del General Arrando, 4</t>
        </is>
      </c>
      <c r="E19" s="6" t="inlineStr">
        <is>
          <t>renovacionpeluqueros.es</t>
        </is>
      </c>
    </row>
    <row r="20">
      <c r="A20" s="13" t="n">
        <v>19</v>
      </c>
      <c r="B20" s="3" t="inlineStr">
        <is>
          <t>20+tres</t>
        </is>
      </c>
      <c r="C20" s="3" t="inlineStr">
        <is>
          <t>Estética</t>
        </is>
      </c>
      <c r="D20" s="3" t="inlineStr">
        <is>
          <t>Calle de Sagasta, 23</t>
        </is>
      </c>
      <c r="E20" s="3" t="inlineStr">
        <is>
          <t>20mas3.com</t>
        </is>
      </c>
    </row>
    <row r="21">
      <c r="A21" s="14" t="n">
        <v>20</v>
      </c>
      <c r="B21" s="6" t="inlineStr">
        <is>
          <t>Fisiocial</t>
        </is>
      </c>
      <c r="C21" s="6" t="inlineStr">
        <is>
          <t>Fisioterapia</t>
        </is>
      </c>
      <c r="D21" s="6" t="inlineStr">
        <is>
          <t>Calle de Lavapiés, 32</t>
        </is>
      </c>
      <c r="E21" s="6" t="inlineStr">
        <is>
          <t>clinicafisiocial.es</t>
        </is>
      </c>
    </row>
    <row r="22">
      <c r="A22" s="13" t="n">
        <v>21</v>
      </c>
      <c r="B22" s="3" t="inlineStr">
        <is>
          <t>Clínica Ygea Fisioterapia</t>
        </is>
      </c>
      <c r="C22" s="3" t="inlineStr">
        <is>
          <t>Fisioterapia</t>
        </is>
      </c>
      <c r="D22" s="3" t="inlineStr">
        <is>
          <t>Calle de Melilla, 29</t>
        </is>
      </c>
      <c r="E22" s="3" t="inlineStr">
        <is>
          <t>ygeafisioterapia.com</t>
        </is>
      </c>
    </row>
    <row r="23">
      <c r="A23" s="14" t="n">
        <v>22</v>
      </c>
      <c r="B23" s="6" t="inlineStr">
        <is>
          <t>Phisico Health Center</t>
        </is>
      </c>
      <c r="C23" s="6" t="inlineStr">
        <is>
          <t>Fisioterapia</t>
        </is>
      </c>
      <c r="D23" s="6" t="inlineStr">
        <is>
          <t>Paseo de los Olmos, 10</t>
        </is>
      </c>
      <c r="E23" s="6" t="inlineStr">
        <is>
          <t>phisico.es</t>
        </is>
      </c>
    </row>
    <row r="24">
      <c r="A24" s="13" t="n">
        <v>23</v>
      </c>
      <c r="B24" s="3" t="inlineStr">
        <is>
          <t>Tu Fisio</t>
        </is>
      </c>
      <c r="C24" s="3" t="inlineStr">
        <is>
          <t>Fisioterapia</t>
        </is>
      </c>
      <c r="D24" s="3" t="inlineStr">
        <is>
          <t>Calle de Ibiza, 52</t>
        </is>
      </c>
      <c r="E24" s="3" t="inlineStr">
        <is>
          <t>soytufisio.es</t>
        </is>
      </c>
    </row>
    <row r="25">
      <c r="A25" s="14" t="n">
        <v>24</v>
      </c>
      <c r="B25" s="6" t="inlineStr">
        <is>
          <t>FisioRetiro</t>
        </is>
      </c>
      <c r="C25" s="6" t="inlineStr">
        <is>
          <t>Fisioterapia</t>
        </is>
      </c>
      <c r="D25" s="6" t="inlineStr">
        <is>
          <t>Calle del Doctor Castelo, 31</t>
        </is>
      </c>
      <c r="E25" s="6" t="inlineStr">
        <is>
          <t>fisioretiro.com</t>
        </is>
      </c>
    </row>
    <row r="26">
      <c r="A26" s="13" t="n">
        <v>25</v>
      </c>
      <c r="B26" s="3" t="inlineStr">
        <is>
          <t>Clínica Arganzuela</t>
        </is>
      </c>
      <c r="C26" s="3" t="inlineStr">
        <is>
          <t>Fisioterapia</t>
        </is>
      </c>
      <c r="D26" s="3" t="inlineStr">
        <is>
          <t>Calle Cobos de Segovia, 10</t>
        </is>
      </c>
      <c r="E26" s="3" t="inlineStr">
        <is>
          <t>clinicaarganzuela.com</t>
        </is>
      </c>
    </row>
    <row r="27">
      <c r="A27" s="14" t="n">
        <v>26</v>
      </c>
      <c r="B27" s="6" t="inlineStr">
        <is>
          <t>Fisio4you Pirámides</t>
        </is>
      </c>
      <c r="C27" s="6" t="inlineStr">
        <is>
          <t>Fisioterapia</t>
        </is>
      </c>
      <c r="D27" s="6" t="inlineStr">
        <is>
          <t>Paseo de las Acacias, 50</t>
        </is>
      </c>
      <c r="E27" s="6" t="inlineStr">
        <is>
          <t>fisio4you.es</t>
        </is>
      </c>
    </row>
    <row r="28">
      <c r="A28" s="13" t="n">
        <v>27</v>
      </c>
      <c r="B28" s="3" t="inlineStr">
        <is>
          <t>D-Uñas Alberto Aguilera</t>
        </is>
      </c>
      <c r="C28" s="3" t="inlineStr">
        <is>
          <t>Estética</t>
        </is>
      </c>
      <c r="D28" s="3" t="inlineStr">
        <is>
          <t>Calle de Alberto Aguilera, 35</t>
        </is>
      </c>
      <c r="E28" s="3" t="inlineStr">
        <is>
          <t>d-unas.com</t>
        </is>
      </c>
    </row>
    <row r="29">
      <c r="A29" s="14" t="n">
        <v>28</v>
      </c>
      <c r="B29" s="6" t="inlineStr">
        <is>
          <t>MM25 Peluqueros</t>
        </is>
      </c>
      <c r="C29" s="6" t="inlineStr">
        <is>
          <t>Estética</t>
        </is>
      </c>
      <c r="D29" s="6" t="inlineStr">
        <is>
          <t>Calle de Manuela Malasaña, 25</t>
        </is>
      </c>
      <c r="E29" s="6" t="inlineStr">
        <is>
          <t>mm25peluqueros.es</t>
        </is>
      </c>
    </row>
    <row r="30">
      <c r="A30" s="13" t="n">
        <v>29</v>
      </c>
      <c r="B30" s="3" t="inlineStr">
        <is>
          <t>Maryfelix Garzón</t>
        </is>
      </c>
      <c r="C30" s="3" t="inlineStr">
        <is>
          <t>Estética</t>
        </is>
      </c>
      <c r="D30" s="3" t="inlineStr">
        <is>
          <t>Calle del Duque de Sesto, 50</t>
        </is>
      </c>
      <c r="E30" s="3" t="inlineStr">
        <is>
          <t>maryfelixgarzon.com</t>
        </is>
      </c>
    </row>
    <row r="31">
      <c r="A31" s="14" t="n">
        <v>30</v>
      </c>
      <c r="B31" s="6" t="inlineStr">
        <is>
          <t>Savia Beauty Bar</t>
        </is>
      </c>
      <c r="C31" s="6" t="inlineStr">
        <is>
          <t>Estética</t>
        </is>
      </c>
      <c r="D31" s="6" t="inlineStr">
        <is>
          <t>Calle de Jorge Juan, 96</t>
        </is>
      </c>
      <c r="E31" s="6" t="inlineStr">
        <is>
          <t>saviabeautybar.es</t>
        </is>
      </c>
    </row>
    <row r="32">
      <c r="A32" s="13" t="n">
        <v>31</v>
      </c>
      <c r="B32" s="3" t="inlineStr">
        <is>
          <t>Cocco Beauty Salesas</t>
        </is>
      </c>
      <c r="C32" s="3" t="inlineStr">
        <is>
          <t>Estética</t>
        </is>
      </c>
      <c r="D32" s="3" t="inlineStr">
        <is>
          <t>Calle de Tamayo y Baus, 3</t>
        </is>
      </c>
      <c r="E32" s="3" t="inlineStr">
        <is>
          <t>cocco-beauty.com</t>
        </is>
      </c>
    </row>
    <row r="33">
      <c r="A33" s="14" t="n">
        <v>32</v>
      </c>
      <c r="B33" s="6" t="inlineStr">
        <is>
          <t>Mi Calle de Nueva York</t>
        </is>
      </c>
      <c r="C33" s="6" t="inlineStr">
        <is>
          <t>Estética</t>
        </is>
      </c>
      <c r="D33" s="6" t="inlineStr">
        <is>
          <t>Calle del Barquillo, 39</t>
        </is>
      </c>
      <c r="E33" s="6" t="inlineStr">
        <is>
          <t>micalleny.es</t>
        </is>
      </c>
    </row>
    <row r="34">
      <c r="A34" s="13" t="n">
        <v>33</v>
      </c>
      <c r="B34" s="3" t="inlineStr">
        <is>
          <t>No Filters</t>
        </is>
      </c>
      <c r="C34" s="3" t="inlineStr">
        <is>
          <t>Estética</t>
        </is>
      </c>
      <c r="D34" s="3" t="inlineStr">
        <is>
          <t>Calle de Argensola, 13</t>
        </is>
      </c>
      <c r="E34" s="3" t="inlineStr">
        <is>
          <t>nofilters.es</t>
        </is>
      </c>
    </row>
    <row r="35">
      <c r="A35" s="14" t="n">
        <v>34</v>
      </c>
      <c r="B35" s="6" t="inlineStr">
        <is>
          <t>Carche Princesa</t>
        </is>
      </c>
      <c r="C35" s="6" t="inlineStr">
        <is>
          <t>Estética</t>
        </is>
      </c>
      <c r="D35" s="6" t="inlineStr">
        <is>
          <t>Calle de la Princesa, 14</t>
        </is>
      </c>
      <c r="E35" s="6" t="inlineStr">
        <is>
          <t>carche.es</t>
        </is>
      </c>
    </row>
    <row r="36">
      <c r="A36" s="13" t="n">
        <v>35</v>
      </c>
      <c r="B36" s="3" t="inlineStr">
        <is>
          <t>Centro de Belleza Agatha</t>
        </is>
      </c>
      <c r="C36" s="3" t="inlineStr">
        <is>
          <t>Estética</t>
        </is>
      </c>
      <c r="D36" s="3" t="inlineStr">
        <is>
          <t>Calle de Benito Gutiérrez, 8</t>
        </is>
      </c>
      <c r="E36" s="3" t="inlineStr">
        <is>
          <t>agathaestetica.info</t>
        </is>
      </c>
    </row>
    <row r="37">
      <c r="A37" s="14" t="n">
        <v>36</v>
      </c>
      <c r="B37" s="6" t="inlineStr">
        <is>
          <t>Centro de Belleza María José Sanz</t>
        </is>
      </c>
      <c r="C37" s="6" t="inlineStr">
        <is>
          <t>Estética</t>
        </is>
      </c>
      <c r="D37" s="6" t="inlineStr">
        <is>
          <t>Calle del Aviador Zorita, 27</t>
        </is>
      </c>
      <c r="E37" s="6" t="inlineStr">
        <is>
          <t>mariajosesanz.com</t>
        </is>
      </c>
    </row>
    <row r="38">
      <c r="A38" s="13" t="n">
        <v>37</v>
      </c>
      <c r="B38" s="3" t="inlineStr">
        <is>
          <t>Iralaultima Beauty Center</t>
        </is>
      </c>
      <c r="C38" s="3" t="inlineStr">
        <is>
          <t>Estética</t>
        </is>
      </c>
      <c r="D38" s="3" t="inlineStr">
        <is>
          <t>Calle de Padilla, 5</t>
        </is>
      </c>
      <c r="E38" s="3" t="inlineStr">
        <is>
          <t>iralaultimabeauty.com</t>
        </is>
      </c>
    </row>
    <row r="39">
      <c r="A39" s="14" t="n">
        <v>38</v>
      </c>
      <c r="B39" s="6" t="inlineStr">
        <is>
          <t>Tropical Beauty</t>
        </is>
      </c>
      <c r="C39" s="6" t="inlineStr">
        <is>
          <t>Estética</t>
        </is>
      </c>
      <c r="D39" s="6" t="inlineStr">
        <is>
          <t>Calle de Manuela Malasaña, 24</t>
        </is>
      </c>
      <c r="E39" s="6" t="inlineStr">
        <is>
          <t>tropicalbeauty24.com</t>
        </is>
      </c>
    </row>
    <row r="40">
      <c r="A40" s="13" t="n">
        <v>39</v>
      </c>
      <c r="B40" s="3" t="inlineStr">
        <is>
          <t>Chez Jolie</t>
        </is>
      </c>
      <c r="C40" s="3" t="inlineStr">
        <is>
          <t>Estética</t>
        </is>
      </c>
      <c r="D40" s="3" t="inlineStr">
        <is>
          <t>Calle del Almirante, 11</t>
        </is>
      </c>
      <c r="E40" s="3" t="inlineStr">
        <is>
          <t>chezjolie.es</t>
        </is>
      </c>
    </row>
    <row r="41">
      <c r="A41" s="14" t="n">
        <v>40</v>
      </c>
      <c r="B41" s="6" t="inlineStr">
        <is>
          <t>Cemestetic</t>
        </is>
      </c>
      <c r="C41" s="6" t="inlineStr">
        <is>
          <t>Estética</t>
        </is>
      </c>
      <c r="D41" s="6" t="inlineStr">
        <is>
          <t>Calle de Lombia, 7</t>
        </is>
      </c>
      <c r="E41" s="6" t="inlineStr">
        <is>
          <t>cemestetic.es</t>
        </is>
      </c>
    </row>
    <row r="42">
      <c r="A42" s="13" t="n">
        <v>41</v>
      </c>
      <c r="B42" s="3" t="inlineStr">
        <is>
          <t>Clinique Beauté</t>
        </is>
      </c>
      <c r="C42" s="3" t="inlineStr">
        <is>
          <t>Estética</t>
        </is>
      </c>
      <c r="D42" s="3" t="inlineStr">
        <is>
          <t>Calle de Ríos Rosas, 39</t>
        </is>
      </c>
      <c r="E42" s="3" t="inlineStr">
        <is>
          <t>cliniquebeaute.es</t>
        </is>
      </c>
    </row>
    <row r="43">
      <c r="A43" s="14" t="n">
        <v>42</v>
      </c>
      <c r="B43" s="6" t="inlineStr">
        <is>
          <t>Studio By 351</t>
        </is>
      </c>
      <c r="C43" s="6" t="inlineStr">
        <is>
          <t>Estética</t>
        </is>
      </c>
      <c r="D43" s="6" t="inlineStr">
        <is>
          <t>Plaza de la Cebada, 7</t>
        </is>
      </c>
      <c r="E43" s="6" t="inlineStr">
        <is>
          <t>studioby351.es</t>
        </is>
      </c>
    </row>
    <row r="44">
      <c r="A44" s="13" t="n">
        <v>43</v>
      </c>
      <c r="B44" s="3" t="inlineStr">
        <is>
          <t>Belleza India</t>
        </is>
      </c>
      <c r="C44" s="3" t="inlineStr">
        <is>
          <t>Estética</t>
        </is>
      </c>
      <c r="D44" s="3" t="inlineStr">
        <is>
          <t>Calle del Arenal, 8</t>
        </is>
      </c>
      <c r="E44" s="3" t="inlineStr">
        <is>
          <t>bellezaindia.com.es</t>
        </is>
      </c>
    </row>
    <row r="45">
      <c r="A45" s="14" t="n">
        <v>44</v>
      </c>
      <c r="B45" s="6" t="inlineStr">
        <is>
          <t>Calma Rituals Studio</t>
        </is>
      </c>
      <c r="C45" s="6" t="inlineStr">
        <is>
          <t>Estética</t>
        </is>
      </c>
      <c r="D45" s="6" t="inlineStr">
        <is>
          <t>Calle de Bravo Murillo, 79</t>
        </is>
      </c>
      <c r="E45" s="6" t="inlineStr">
        <is>
          <t>calmaritualstudio.com</t>
        </is>
      </c>
    </row>
    <row r="46">
      <c r="A46" s="13" t="n">
        <v>45</v>
      </c>
      <c r="B46" s="3" t="inlineStr">
        <is>
          <t>Peluquería Unisex Alain Roma</t>
        </is>
      </c>
      <c r="C46" s="3" t="inlineStr">
        <is>
          <t>Estética</t>
        </is>
      </c>
      <c r="D46" s="3" t="inlineStr">
        <is>
          <t>Calle de Fernández de los Ríos, 12</t>
        </is>
      </c>
      <c r="E46" s="3" t="inlineStr">
        <is>
          <t>peluqueriaalainroma.es</t>
        </is>
      </c>
    </row>
    <row r="47">
      <c r="A47" s="14" t="n">
        <v>46</v>
      </c>
      <c r="B47" s="6" t="inlineStr">
        <is>
          <t>Centro de estética Elvira de Hoyos</t>
        </is>
      </c>
      <c r="C47" s="6" t="inlineStr">
        <is>
          <t>Estética</t>
        </is>
      </c>
      <c r="D47" s="6" t="inlineStr">
        <is>
          <t>Calle de Fernando el Católico, 29</t>
        </is>
      </c>
      <c r="E47" s="6" t="inlineStr">
        <is>
          <t>esteticaedh.es</t>
        </is>
      </c>
    </row>
    <row r="48">
      <c r="A48" s="13" t="n">
        <v>47</v>
      </c>
      <c r="B48" s="3" t="inlineStr">
        <is>
          <t>Fontalba Estilista</t>
        </is>
      </c>
      <c r="C48" s="3" t="inlineStr">
        <is>
          <t>Estética</t>
        </is>
      </c>
      <c r="D48" s="3" t="inlineStr">
        <is>
          <t>Paseo de la Castellana, 122</t>
        </is>
      </c>
      <c r="E48" s="3" t="inlineStr">
        <is>
          <t>fontalbaestilista.es</t>
        </is>
      </c>
    </row>
    <row r="49">
      <c r="A49" s="14" t="n">
        <v>48</v>
      </c>
      <c r="B49" s="6" t="inlineStr">
        <is>
          <t>Are You Ready?</t>
        </is>
      </c>
      <c r="C49" s="6" t="inlineStr">
        <is>
          <t>Estética</t>
        </is>
      </c>
      <c r="D49" s="6" t="inlineStr">
        <is>
          <t>Cuesta de Santo Domingo, 10</t>
        </is>
      </c>
      <c r="E49" s="6" t="inlineStr">
        <is>
          <t>areyouready.es</t>
        </is>
      </c>
    </row>
    <row r="50">
      <c r="A50" s="13" t="n">
        <v>49</v>
      </c>
      <c r="B50" s="3" t="inlineStr">
        <is>
          <t>R'difusión Serrano</t>
        </is>
      </c>
      <c r="C50" s="3" t="inlineStr">
        <is>
          <t>Estética</t>
        </is>
      </c>
      <c r="D50" s="3" t="inlineStr">
        <is>
          <t>Calle de Serrano, 58</t>
        </is>
      </c>
      <c r="E50" s="3" t="inlineStr">
        <is>
          <t>rdifusion.es</t>
        </is>
      </c>
    </row>
    <row r="51">
      <c r="A51" s="14" t="n">
        <v>50</v>
      </c>
      <c r="B51" s="6" t="inlineStr">
        <is>
          <t>Nuria Donaldson</t>
        </is>
      </c>
      <c r="C51" s="6" t="inlineStr">
        <is>
          <t>Estética</t>
        </is>
      </c>
      <c r="D51" s="6" t="inlineStr">
        <is>
          <t>Calle del Príncipe de Vergara, 10</t>
        </is>
      </c>
      <c r="E51" s="6" t="inlineStr">
        <is>
          <t>nuriadonaldson.es</t>
        </is>
      </c>
    </row>
    <row r="52">
      <c r="A52" s="13" t="n">
        <v>51</v>
      </c>
      <c r="B52" s="3" t="inlineStr">
        <is>
          <t>Iraga Wellness Center</t>
        </is>
      </c>
      <c r="C52" s="3" t="inlineStr">
        <is>
          <t>Estética</t>
        </is>
      </c>
      <c r="D52" s="3" t="inlineStr">
        <is>
          <t>Calle de Melilla, 43</t>
        </is>
      </c>
      <c r="E52" s="3" t="inlineStr">
        <is>
          <t>iraga.es</t>
        </is>
      </c>
    </row>
    <row r="53">
      <c r="A53" s="14" t="n">
        <v>52</v>
      </c>
      <c r="B53" s="6" t="inlineStr">
        <is>
          <t>Clínica Lola Sopeña</t>
        </is>
      </c>
      <c r="C53" s="6" t="inlineStr">
        <is>
          <t>Estética</t>
        </is>
      </c>
      <c r="D53" s="6" t="inlineStr">
        <is>
          <t>Calle de Ferraz, 9</t>
        </is>
      </c>
      <c r="E53" s="6" t="inlineStr">
        <is>
          <t>clinicaslolasopena.es</t>
        </is>
      </c>
    </row>
    <row r="54">
      <c r="A54" s="13" t="n">
        <v>53</v>
      </c>
      <c r="B54" s="3" t="inlineStr">
        <is>
          <t>Aesthetic Madrid Goya</t>
        </is>
      </c>
      <c r="C54" s="3" t="inlineStr">
        <is>
          <t>Estética</t>
        </is>
      </c>
      <c r="D54" s="3" t="inlineStr">
        <is>
          <t>Calle de Goya, 139</t>
        </is>
      </c>
      <c r="E54" s="3" t="inlineStr">
        <is>
          <t>aestheticmadrid.com</t>
        </is>
      </c>
    </row>
    <row r="55">
      <c r="A55" s="14" t="n">
        <v>54</v>
      </c>
      <c r="B55" s="6" t="inlineStr">
        <is>
          <t>Maison Beautys</t>
        </is>
      </c>
      <c r="C55" s="6" t="inlineStr">
        <is>
          <t>Estética</t>
        </is>
      </c>
      <c r="D55" s="6" t="inlineStr">
        <is>
          <t>Argüelles (Marqués de Urquijo)</t>
        </is>
      </c>
      <c r="E55" s="6" t="inlineStr">
        <is>
          <t>maisonbeautys.com</t>
        </is>
      </c>
    </row>
    <row r="56">
      <c r="A56" s="13" t="n">
        <v>55</v>
      </c>
      <c r="B56" s="3" t="inlineStr">
        <is>
          <t>Mercedes Del Val</t>
        </is>
      </c>
      <c r="C56" s="3" t="inlineStr">
        <is>
          <t>Estética</t>
        </is>
      </c>
      <c r="D56" s="3" t="inlineStr">
        <is>
          <t>Calle de Melilla, 55</t>
        </is>
      </c>
      <c r="E56" s="3" t="inlineStr">
        <is>
          <t>mercedesdelval.es</t>
        </is>
      </c>
    </row>
    <row r="57">
      <c r="A57" s="14" t="n">
        <v>56</v>
      </c>
      <c r="B57" s="6" t="inlineStr">
        <is>
          <t>María Arribas Centro de Belleza</t>
        </is>
      </c>
      <c r="C57" s="6" t="inlineStr">
        <is>
          <t>Estética</t>
        </is>
      </c>
      <c r="D57" s="6" t="inlineStr">
        <is>
          <t>Paseo de la Esperanza, 8</t>
        </is>
      </c>
      <c r="E57" s="6" t="inlineStr">
        <is>
          <t>centrodebellezamariaarribas.com</t>
        </is>
      </c>
    </row>
    <row r="58">
      <c r="A58" s="13" t="n">
        <v>57</v>
      </c>
      <c r="B58" s="3" t="inlineStr">
        <is>
          <t>Fashion Avenue Hair &amp; Body</t>
        </is>
      </c>
      <c r="C58" s="3" t="inlineStr">
        <is>
          <t>Estética</t>
        </is>
      </c>
      <c r="D58" s="3" t="inlineStr">
        <is>
          <t>Paseo de la Esperanza, 6</t>
        </is>
      </c>
      <c r="E58" s="3" t="inlineStr">
        <is>
          <t>fashionavenue.es</t>
        </is>
      </c>
    </row>
    <row r="59">
      <c r="A59" s="14" t="n">
        <v>58</v>
      </c>
      <c r="B59" s="6" t="inlineStr">
        <is>
          <t>Valino Hair</t>
        </is>
      </c>
      <c r="C59" s="6" t="inlineStr">
        <is>
          <t>Estética</t>
        </is>
      </c>
      <c r="D59" s="6" t="inlineStr">
        <is>
          <t>Calle de Zorrilla, 23</t>
        </is>
      </c>
      <c r="E59" s="6" t="inlineStr">
        <is>
          <t>salonvalinohair.es</t>
        </is>
      </c>
    </row>
    <row r="60">
      <c r="A60" s="13" t="n">
        <v>59</v>
      </c>
      <c r="B60" s="3" t="inlineStr">
        <is>
          <t>MYMO Centro de estética</t>
        </is>
      </c>
      <c r="C60" s="3" t="inlineStr">
        <is>
          <t>Estética</t>
        </is>
      </c>
      <c r="D60" s="3" t="inlineStr">
        <is>
          <t>Calle de Andrés Mellado, 71</t>
        </is>
      </c>
      <c r="E60" s="3" t="inlineStr">
        <is>
          <t>mymoestetica.com</t>
        </is>
      </c>
    </row>
    <row r="61">
      <c r="A61" s="14" t="n">
        <v>60</v>
      </c>
      <c r="B61" s="6" t="inlineStr">
        <is>
          <t>bAs Beauty</t>
        </is>
      </c>
      <c r="C61" s="6" t="inlineStr">
        <is>
          <t>Estética</t>
        </is>
      </c>
      <c r="D61" s="6" t="inlineStr">
        <is>
          <t>Calle de Andrés Mellado, 18</t>
        </is>
      </c>
      <c r="E61" s="6" t="inlineStr">
        <is>
          <t>basbeauty.es</t>
        </is>
      </c>
    </row>
    <row r="62">
      <c r="A62" s="13" t="n">
        <v>61</v>
      </c>
      <c r="B62" s="3" t="inlineStr">
        <is>
          <t>Medicina Estética y Belleza París</t>
        </is>
      </c>
      <c r="C62" s="3" t="inlineStr">
        <is>
          <t>Estética</t>
        </is>
      </c>
      <c r="D62" s="3" t="inlineStr">
        <is>
          <t>Paseo de San Francisco de Sales, 9</t>
        </is>
      </c>
      <c r="E62" s="3" t="inlineStr">
        <is>
          <t>medicinaesteticaybellezaparis.com</t>
        </is>
      </c>
    </row>
    <row r="63">
      <c r="A63" s="14" t="n">
        <v>62</v>
      </c>
      <c r="B63" s="6" t="inlineStr">
        <is>
          <t>Specchio: Spa &amp; Beauty</t>
        </is>
      </c>
      <c r="C63" s="6" t="inlineStr">
        <is>
          <t>Estética</t>
        </is>
      </c>
      <c r="D63" s="6" t="inlineStr">
        <is>
          <t>Calle de Andrés Mellado, 41</t>
        </is>
      </c>
      <c r="E63" s="6" t="inlineStr">
        <is>
          <t>specchiospa.com</t>
        </is>
      </c>
    </row>
    <row r="64">
      <c r="A64" s="13" t="n">
        <v>63</v>
      </c>
      <c r="B64" s="3" t="inlineStr">
        <is>
          <t>Tranquilo Beauty Lab</t>
        </is>
      </c>
      <c r="C64" s="3" t="inlineStr">
        <is>
          <t>Estética</t>
        </is>
      </c>
      <c r="D64" s="3" t="inlineStr">
        <is>
          <t>Calle de Fernández de los Ríos, 69</t>
        </is>
      </c>
      <c r="E64" s="3" t="inlineStr">
        <is>
          <t>tranquilolab.com</t>
        </is>
      </c>
    </row>
    <row r="65">
      <c r="A65" s="14" t="n">
        <v>64</v>
      </c>
      <c r="B65" s="6" t="inlineStr">
        <is>
          <t>Maday Beauty Center</t>
        </is>
      </c>
      <c r="C65" s="6" t="inlineStr">
        <is>
          <t>Estética</t>
        </is>
      </c>
      <c r="D65" s="6" t="inlineStr">
        <is>
          <t>Calle de Andrés Mellado, 108</t>
        </is>
      </c>
      <c r="E65" s="6" t="inlineStr">
        <is>
          <t>maday.es</t>
        </is>
      </c>
    </row>
    <row r="66">
      <c r="A66" s="13" t="n">
        <v>65</v>
      </c>
      <c r="B66" s="3" t="inlineStr">
        <is>
          <t>Medical Nova</t>
        </is>
      </c>
      <c r="C66" s="3" t="inlineStr">
        <is>
          <t>Estética</t>
        </is>
      </c>
      <c r="D66" s="3" t="inlineStr">
        <is>
          <t>Acacias (junto a Pirámides)</t>
        </is>
      </c>
      <c r="E66" s="3" t="inlineStr">
        <is>
          <t>medicalnova.es</t>
        </is>
      </c>
    </row>
    <row r="67">
      <c r="A67" s="14" t="n">
        <v>66</v>
      </c>
      <c r="B67" s="6" t="inlineStr">
        <is>
          <t>Clínica Dental Modesto Lafuente</t>
        </is>
      </c>
      <c r="C67" s="6" t="inlineStr">
        <is>
          <t>Dental</t>
        </is>
      </c>
      <c r="D67" s="6" t="inlineStr">
        <is>
          <t>Calle de Modesto Lafuente, 46</t>
        </is>
      </c>
      <c r="E67" s="6" t="inlineStr">
        <is>
          <t>clinicadentalmodestolafuente.com</t>
        </is>
      </c>
    </row>
    <row r="68">
      <c r="A68" s="13" t="n">
        <v>67</v>
      </c>
      <c r="B68" s="3" t="inlineStr">
        <is>
          <t>Clínica Dental Goya 116</t>
        </is>
      </c>
      <c r="C68" s="3" t="inlineStr">
        <is>
          <t>Dental</t>
        </is>
      </c>
      <c r="D68" s="3" t="inlineStr">
        <is>
          <t>Calle de Goya, 116</t>
        </is>
      </c>
      <c r="E68" s="3" t="inlineStr">
        <is>
          <t>clinicadentalgoya116.com</t>
        </is>
      </c>
    </row>
    <row r="69">
      <c r="A69" s="14" t="n">
        <v>68</v>
      </c>
      <c r="B69" s="6" t="inlineStr">
        <is>
          <t>Hospital Dental y Salud Delicias</t>
        </is>
      </c>
      <c r="C69" s="6" t="inlineStr">
        <is>
          <t>Dental</t>
        </is>
      </c>
      <c r="D69" s="6" t="inlineStr">
        <is>
          <t>Calle Batalla del Salado, 36</t>
        </is>
      </c>
      <c r="E69" s="6" t="inlineStr">
        <is>
          <t>hospitaldentalysaluddelicias.com</t>
        </is>
      </c>
    </row>
    <row r="70">
      <c r="A70" s="13" t="n">
        <v>69</v>
      </c>
      <c r="B70" s="3" t="inlineStr">
        <is>
          <t>Centro Médico Goya / Clínica Dental Casado</t>
        </is>
      </c>
      <c r="C70" s="3" t="inlineStr">
        <is>
          <t>Dental</t>
        </is>
      </c>
      <c r="D70" s="3" t="inlineStr">
        <is>
          <t>Calle de la Fuente del Berro, 22</t>
        </is>
      </c>
      <c r="E70" s="3" t="inlineStr">
        <is>
          <t>centromedicogoya.es</t>
        </is>
      </c>
    </row>
    <row r="71">
      <c r="A71" s="14" t="n">
        <v>70</v>
      </c>
      <c r="B71" s="6" t="inlineStr">
        <is>
          <t>Centro de Fisioterapia Ana Ramos</t>
        </is>
      </c>
      <c r="C71" s="6" t="inlineStr">
        <is>
          <t>Fisioterapia</t>
        </is>
      </c>
      <c r="D71" s="6" t="inlineStr">
        <is>
          <t>Calle de Churruca, 21</t>
        </is>
      </c>
      <c r="E71" s="6" t="inlineStr">
        <is>
          <t>fisioanaramos.com</t>
        </is>
      </c>
    </row>
    <row r="72">
      <c r="A72" s="13" t="n">
        <v>71</v>
      </c>
      <c r="B72" s="3" t="inlineStr">
        <is>
          <t>Centro de Fisioterapia y Pilates Physios</t>
        </is>
      </c>
      <c r="C72" s="3" t="inlineStr">
        <is>
          <t>Fisioterapia</t>
        </is>
      </c>
      <c r="D72" s="3" t="inlineStr">
        <is>
          <t>Calle de Valverde, 26</t>
        </is>
      </c>
      <c r="E72" s="3" t="inlineStr">
        <is>
          <t>centrophysios.com</t>
        </is>
      </c>
    </row>
    <row r="73">
      <c r="A73" s="14" t="n">
        <v>72</v>
      </c>
      <c r="B73" s="6" t="inlineStr">
        <is>
          <t>Clínica Fisioterapia y Osteopatía Enric Gallofré</t>
        </is>
      </c>
      <c r="C73" s="6" t="inlineStr">
        <is>
          <t>Fisioterapia</t>
        </is>
      </c>
      <c r="D73" s="6" t="inlineStr">
        <is>
          <t>Calle de Castelló, 24</t>
        </is>
      </c>
      <c r="E73" s="6" t="inlineStr">
        <is>
          <t>enricgallofre.com</t>
        </is>
      </c>
    </row>
    <row r="74">
      <c r="A74" s="13" t="n">
        <v>73</v>
      </c>
      <c r="B74" s="3" t="inlineStr">
        <is>
          <t>eFISIO Barrio Salamanca</t>
        </is>
      </c>
      <c r="C74" s="3" t="inlineStr">
        <is>
          <t>Fisioterapia</t>
        </is>
      </c>
      <c r="D74" s="3" t="inlineStr">
        <is>
          <t>Calle Ruiz Perelló, 3</t>
        </is>
      </c>
      <c r="E74" s="3" t="inlineStr">
        <is>
          <t>efisio.es</t>
        </is>
      </c>
    </row>
    <row r="75">
      <c r="A75" s="14" t="n">
        <v>74</v>
      </c>
      <c r="B75" s="6" t="inlineStr">
        <is>
          <t>MasFisio</t>
        </is>
      </c>
      <c r="C75" s="6" t="inlineStr">
        <is>
          <t>Fisioterapia</t>
        </is>
      </c>
      <c r="D75" s="6" t="inlineStr">
        <is>
          <t>Pasaje del Doctor Esquerdo, 4</t>
        </is>
      </c>
      <c r="E75" s="6" t="inlineStr">
        <is>
          <t>masfisio.es</t>
        </is>
      </c>
    </row>
    <row r="76">
      <c r="A76" s="13" t="n">
        <v>75</v>
      </c>
      <c r="B76" s="3" t="inlineStr">
        <is>
          <t>Fisio Moncloa</t>
        </is>
      </c>
      <c r="C76" s="3" t="inlineStr">
        <is>
          <t>Fisioterapia</t>
        </is>
      </c>
      <c r="D76" s="3" t="inlineStr">
        <is>
          <t>Calle de Cea Bermúdez, 36, 1ºC</t>
        </is>
      </c>
      <c r="E76" s="3" t="inlineStr">
        <is>
          <t>fisiomoncloa.es</t>
        </is>
      </c>
    </row>
    <row r="77">
      <c r="A77" s="14" t="n">
        <v>76</v>
      </c>
      <c r="B77" s="6" t="inlineStr">
        <is>
          <t>Fisioflex Therapy / Fisioflex Salud</t>
        </is>
      </c>
      <c r="C77" s="6" t="inlineStr">
        <is>
          <t>Fisioterapia</t>
        </is>
      </c>
      <c r="D77" s="6" t="inlineStr">
        <is>
          <t>Calle de Alberto Aguilera, 64</t>
        </is>
      </c>
      <c r="E77" s="6" t="inlineStr">
        <is>
          <t>fisioflexsalud.com</t>
        </is>
      </c>
    </row>
    <row r="78">
      <c r="A78" s="13" t="n">
        <v>77</v>
      </c>
      <c r="B78" s="3" t="inlineStr">
        <is>
          <t>The Clinic Studio</t>
        </is>
      </c>
      <c r="C78" s="3" t="inlineStr">
        <is>
          <t>Fisioterapia</t>
        </is>
      </c>
      <c r="D78" s="3" t="inlineStr">
        <is>
          <t>Calle de Apodaca, 22</t>
        </is>
      </c>
      <c r="E78" s="3" t="inlineStr">
        <is>
          <t>theclinicstudio.es</t>
        </is>
      </c>
    </row>
    <row r="79">
      <c r="A79" s="14" t="n">
        <v>78</v>
      </c>
      <c r="B79" s="6" t="inlineStr">
        <is>
          <t>Clínica Rozalén Goya</t>
        </is>
      </c>
      <c r="C79" s="6" t="inlineStr">
        <is>
          <t>Fisioterapia</t>
        </is>
      </c>
      <c r="D79" s="6" t="inlineStr">
        <is>
          <t>Calle de Fernán González, 19</t>
        </is>
      </c>
      <c r="E79" s="6" t="inlineStr">
        <is>
          <t>clinicarozalen.com</t>
        </is>
      </c>
    </row>
    <row r="80">
      <c r="A80" s="13" t="n">
        <v>79</v>
      </c>
      <c r="B80" s="3" t="inlineStr">
        <is>
          <t>Fisioterapia y Osteopatía Fuencarral</t>
        </is>
      </c>
      <c r="C80" s="3" t="inlineStr">
        <is>
          <t>Fisioterapia</t>
        </is>
      </c>
      <c r="D80" s="3" t="inlineStr">
        <is>
          <t>Puerta del Sol, 4, 4ºC</t>
        </is>
      </c>
      <c r="E80" s="3" t="inlineStr">
        <is>
          <t>fisiofuencarral.es</t>
        </is>
      </c>
    </row>
    <row r="81">
      <c r="A81" s="14" t="n">
        <v>80</v>
      </c>
      <c r="B81" s="6" t="inlineStr">
        <is>
          <t>Fisioterapia Arganzuela (Sanefis)</t>
        </is>
      </c>
      <c r="C81" s="6" t="inlineStr">
        <is>
          <t>Fisioterapia</t>
        </is>
      </c>
      <c r="D81" s="6" t="inlineStr">
        <is>
          <t>Calle del Plomo, 15</t>
        </is>
      </c>
      <c r="E81" s="6" t="inlineStr">
        <is>
          <t>fisioterapiaarganzuela.es</t>
        </is>
      </c>
    </row>
    <row r="82">
      <c r="A82" s="13" t="n">
        <v>81</v>
      </c>
      <c r="B82" s="3" t="inlineStr">
        <is>
          <t>Fisio Legazpi</t>
        </is>
      </c>
      <c r="C82" s="3" t="inlineStr">
        <is>
          <t>Fisioterapia</t>
        </is>
      </c>
      <c r="D82" s="3" t="inlineStr">
        <is>
          <t>Calle Jaime el Conquistador, 46</t>
        </is>
      </c>
      <c r="E82" s="3" t="inlineStr">
        <is>
          <t>fisiolegazpi.eu</t>
        </is>
      </c>
    </row>
    <row r="83">
      <c r="A83" s="14" t="n">
        <v>82</v>
      </c>
      <c r="B83" s="6" t="inlineStr">
        <is>
          <t>Clínica Bretón de los Herreros</t>
        </is>
      </c>
      <c r="C83" s="6" t="inlineStr">
        <is>
          <t>Fisioterapia</t>
        </is>
      </c>
      <c r="D83" s="6" t="inlineStr">
        <is>
          <t>Calle de Bretón de los Herreros, 59</t>
        </is>
      </c>
      <c r="E83" s="6" t="inlineStr">
        <is>
          <t>clinicafisioterapiabreton.com</t>
        </is>
      </c>
    </row>
    <row r="84">
      <c r="A84" s="13" t="n">
        <v>83</v>
      </c>
      <c r="B84" s="3" t="inlineStr">
        <is>
          <t>Fisioterapia Gaztambide</t>
        </is>
      </c>
      <c r="C84" s="3" t="inlineStr">
        <is>
          <t>Fisioterapia</t>
        </is>
      </c>
      <c r="D84" s="3" t="inlineStr">
        <is>
          <t>Calle de Gaztambide, 50</t>
        </is>
      </c>
      <c r="E84" s="3" t="inlineStr">
        <is>
          <t>fisioterapiagaztambide.com</t>
        </is>
      </c>
    </row>
    <row r="85">
      <c r="A85" s="14" t="n">
        <v>84</v>
      </c>
      <c r="B85" s="6" t="inlineStr">
        <is>
          <t>Atenfis</t>
        </is>
      </c>
      <c r="C85" s="6" t="inlineStr">
        <is>
          <t>Fisioterapia</t>
        </is>
      </c>
      <c r="D85" s="6" t="inlineStr">
        <is>
          <t>Calle de Cristóbal Bordiú, 42</t>
        </is>
      </c>
      <c r="E85" s="6" t="inlineStr">
        <is>
          <t>atenfis.com</t>
        </is>
      </c>
    </row>
    <row r="86">
      <c r="A86" s="13" t="n">
        <v>85</v>
      </c>
      <c r="B86" s="3" t="inlineStr">
        <is>
          <t>Fisio Axis Retiro</t>
        </is>
      </c>
      <c r="C86" s="3" t="inlineStr">
        <is>
          <t>Fisioterapia</t>
        </is>
      </c>
      <c r="D86" s="3" t="inlineStr">
        <is>
          <t>Calle de Narciso Serra, 5</t>
        </is>
      </c>
      <c r="E86" s="3" t="inlineStr">
        <is>
          <t>fisioaxisretiro.com</t>
        </is>
      </c>
    </row>
    <row r="87">
      <c r="A87" s="14" t="n">
        <v>86</v>
      </c>
      <c r="B87" s="6" t="inlineStr">
        <is>
          <t>Ciro Rehabilitación</t>
        </is>
      </c>
      <c r="C87" s="6" t="inlineStr">
        <is>
          <t>Fisioterapia</t>
        </is>
      </c>
      <c r="D87" s="6" t="inlineStr">
        <is>
          <t>Calle del Doctor Esquerdo, 203</t>
        </is>
      </c>
      <c r="E87" s="6" t="inlineStr">
        <is>
          <t>fisioterapiaciro.es</t>
        </is>
      </c>
    </row>
    <row r="88">
      <c r="A88" s="13" t="n">
        <v>87</v>
      </c>
      <c r="B88" s="3" t="inlineStr">
        <is>
          <t>Fisioterapia Ríos</t>
        </is>
      </c>
      <c r="C88" s="3" t="inlineStr">
        <is>
          <t>Fisioterapia</t>
        </is>
      </c>
      <c r="D88" s="3" t="inlineStr">
        <is>
          <t>Calle de Fernández de los Ríos, 72</t>
        </is>
      </c>
      <c r="E88" s="3" t="inlineStr">
        <is>
          <t>fisioterapiarios.es</t>
        </is>
      </c>
    </row>
    <row r="89">
      <c r="A89" s="14" t="n">
        <v>88</v>
      </c>
      <c r="B89" s="6" t="inlineStr">
        <is>
          <t>Clínica de Fisioterapia Marta Mejuto</t>
        </is>
      </c>
      <c r="C89" s="6" t="inlineStr">
        <is>
          <t>Fisioterapia</t>
        </is>
      </c>
      <c r="D89" s="6" t="inlineStr">
        <is>
          <t>Calle de Manuel Cortina, 10</t>
        </is>
      </c>
      <c r="E89" s="6" t="inlineStr">
        <is>
          <t>clinicamejuto.com</t>
        </is>
      </c>
    </row>
    <row r="90">
      <c r="A90" s="13" t="n">
        <v>89</v>
      </c>
      <c r="B90" s="3" t="inlineStr">
        <is>
          <t>Fisiotherapy Madrid</t>
        </is>
      </c>
      <c r="C90" s="3" t="inlineStr">
        <is>
          <t>Fisioterapia</t>
        </is>
      </c>
      <c r="D90" s="3" t="inlineStr">
        <is>
          <t>Calle de Alenza, 20B</t>
        </is>
      </c>
      <c r="E90" s="3" t="inlineStr">
        <is>
          <t>fisiotherapymadrid.com</t>
        </is>
      </c>
    </row>
    <row r="91">
      <c r="A91" s="14" t="n">
        <v>90</v>
      </c>
      <c r="B91" s="6" t="inlineStr">
        <is>
          <t>Fisioterapia SM</t>
        </is>
      </c>
      <c r="C91" s="6" t="inlineStr">
        <is>
          <t>Fisioterapia</t>
        </is>
      </c>
      <c r="D91" s="6" t="inlineStr">
        <is>
          <t>Calle de Covarrubias, 35</t>
        </is>
      </c>
      <c r="E91" s="6" t="inlineStr">
        <is>
          <t>fisiosmterapia.es</t>
        </is>
      </c>
    </row>
    <row r="92">
      <c r="A92" s="13" t="n">
        <v>91</v>
      </c>
      <c r="B92" s="3" t="inlineStr">
        <is>
          <t>Clínica EstudioFisio</t>
        </is>
      </c>
      <c r="C92" s="3" t="inlineStr">
        <is>
          <t>Fisioterapia</t>
        </is>
      </c>
      <c r="D92" s="3" t="inlineStr">
        <is>
          <t>Calle de Viriato, 56</t>
        </is>
      </c>
      <c r="E92" s="3" t="inlineStr">
        <is>
          <t>estudiofisio.es</t>
        </is>
      </c>
    </row>
    <row r="94">
      <c r="B94" s="10" t="inlineStr">
        <is>
          <t>Total descartados por tener web propia</t>
        </is>
      </c>
      <c r="C94" s="15">
        <f>COUNTA(B2:B92)</f>
        <v/>
      </c>
    </row>
    <row r="96">
      <c r="B96" s="16" t="inlineStr">
        <is>
          <t>Se listan para que no los vuelvas a prospectar. Todos fueron comprobados uno a uno.</t>
        </is>
      </c>
    </row>
  </sheetData>
  <autoFilter ref="A1:E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44" customWidth="1" min="4" max="4"/>
    <col width="26" customWidth="1" min="5" max="5"/>
    <col width="60" customWidth="1" min="6" max="6"/>
  </cols>
  <sheetData>
    <row r="1">
      <c r="A1" s="17" t="inlineStr">
        <is>
          <t>Nº</t>
        </is>
      </c>
      <c r="B1" s="17" t="inlineStr">
        <is>
          <t>Nombre</t>
        </is>
      </c>
      <c r="C1" s="17" t="inlineStr">
        <is>
          <t>Categoría</t>
        </is>
      </c>
      <c r="D1" s="17" t="inlineStr">
        <is>
          <t>Dirección</t>
        </is>
      </c>
      <c r="E1" s="17" t="inlineStr">
        <is>
          <t>Zona</t>
        </is>
      </c>
      <c r="F1" s="17" t="inlineStr">
        <is>
          <t>Por qué sigue siendo un lead</t>
        </is>
      </c>
    </row>
    <row r="2">
      <c r="A2" s="3" t="n">
        <v>1</v>
      </c>
      <c r="B2" s="3" t="inlineStr">
        <is>
          <t>Nisi Peluquería y Estética</t>
        </is>
      </c>
      <c r="C2" s="3" t="inlineStr">
        <is>
          <t>Estética</t>
        </is>
      </c>
      <c r="D2" s="3" t="inlineStr">
        <is>
          <t>Calle de Raimundo Fernández Villaverde, 52</t>
        </is>
      </c>
      <c r="E2" s="3" t="inlineStr">
        <is>
          <t>Ríos Rosas (Chamberí)</t>
        </is>
      </c>
      <c r="F2" s="3" t="inlineStr">
        <is>
          <t>Solo un subdominio gratuito de Wix (nisibellezaintegral.wixsite.com)</t>
        </is>
      </c>
    </row>
    <row r="3">
      <c r="A3" s="3" t="n">
        <v>2</v>
      </c>
      <c r="B3" s="3" t="inlineStr">
        <is>
          <t>Fisio Tirso Madrid</t>
        </is>
      </c>
      <c r="C3" s="3" t="inlineStr">
        <is>
          <t>Fisioterapia</t>
        </is>
      </c>
      <c r="D3" s="3" t="inlineStr">
        <is>
          <t>Plaza de Tirso de Molina, 16, 4º-5</t>
        </is>
      </c>
      <c r="E3" s="3" t="inlineStr">
        <is>
          <t>Centro</t>
        </is>
      </c>
      <c r="F3" s="3" t="inlineStr">
        <is>
          <t>Solo un subdominio gratuito de Webnode (fisiotirso.webnode.es). 647043055. 5,0 con 153 reseñas</t>
        </is>
      </c>
    </row>
    <row r="5">
      <c r="B5" s="16" t="inlineStr">
        <is>
          <t>No tienen dominio propio: usan un subdominio gratuito. Suelen ser de los leads más fáciles de cerrar.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25"/>
  <sheetViews>
    <sheetView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2">
      <c r="B2" s="18" t="inlineStr">
        <is>
          <t>Cómo se ha hecho esta lista</t>
        </is>
      </c>
    </row>
    <row r="3">
      <c r="B3" s="19" t="inlineStr"/>
    </row>
    <row r="4">
      <c r="B4" s="20" t="inlineStr">
        <is>
          <t>Qué se buscaba</t>
        </is>
      </c>
    </row>
    <row r="5">
      <c r="B5" s="19" t="inlineStr">
        <is>
          <t>Clínicas dentales, centros de fisioterapia y centros de estética situados dentro del anillo de la M-30 de Madrid que NO tengan página web propia.</t>
        </is>
      </c>
    </row>
    <row r="6">
      <c r="B6" s="19" t="inlineStr"/>
    </row>
    <row r="7">
      <c r="B7" s="20" t="inlineStr">
        <is>
          <t>Cómo se ha verificado cada negocio</t>
        </is>
      </c>
    </row>
    <row r="8">
      <c r="B8" s="19" t="inlineStr">
        <is>
          <t>1. Captación: se han extraído negocios reales de plataformas que los listan tengan o no web (Fresha, Treatwell, Uala, Booksy, Doctoralia, Páginas Amarillas, Cylex), barrio por barrio dentro de la M-30.</t>
        </is>
      </c>
    </row>
    <row r="9">
      <c r="B9" s="19" t="inlineStr">
        <is>
          <t>2. Verificación individual: de cada negocio se ha hecho una búsqueda específica por nombre + dirección para comprobar si existe un dominio propio.</t>
        </is>
      </c>
    </row>
    <row r="10">
      <c r="B10" s="19" t="inlineStr">
        <is>
          <t>3. Criterio: se marca SIN WEB cuando el negocio solo aparece en plataformas de reserva, directorios y redes sociales, y no se localiza ningún dominio propio.</t>
        </is>
      </c>
    </row>
    <row r="11">
      <c r="B11" s="19" t="inlineStr">
        <is>
          <t>4. Se han verificado uno a uno más de 145 negocios. Los que sí tenían web están en la hoja 'Descartados'.</t>
        </is>
      </c>
    </row>
    <row r="12">
      <c r="B12" s="19" t="inlineStr"/>
    </row>
    <row r="13">
      <c r="B13" s="21" t="inlineStr">
        <is>
          <t>Limitaciones que debes conocer</t>
        </is>
      </c>
    </row>
    <row r="14">
      <c r="B14" s="19" t="inlineStr">
        <is>
          <t>• No se ha podido consultar Google Maps directamente. El entorno donde se ha hecho este trabajo tiene bloqueado el acceso a la API de Google Places y a Maps, así que las fotos y el número exacto de reseñas de Maps no se han podido comprobar en todos los casos. Las valoraciones que aparecen provienen de Treatwell, Fresha, Booksy o de fichas que citaban Google My Business.</t>
        </is>
      </c>
    </row>
    <row r="15">
      <c r="B15" s="19" t="inlineStr">
        <is>
          <t>• El criterio 'moderna, con fotos y reseñas' se ha aproximado priorizando negocios con ficha activa en plataformas de reserva (que exigen fotos) y con reseñas visibles. No es una verificación visual.</t>
        </is>
      </c>
    </row>
    <row r="16">
      <c r="B16" s="19" t="inlineStr">
        <is>
          <t>• Las filas marcadas como fiabilidad 'Media' necesitan una comprobación rápida antes de contactar: o les falta el número exacto de la calle, o su ficha aparecía como no disponible en la plataforma (posible cierre o pausa).</t>
        </is>
      </c>
    </row>
    <row r="17">
      <c r="B17" s="19" t="inlineStr">
        <is>
          <t>• Un negocio puede haber lanzado su web después de la fecha de esta búsqueda. Conviene reconfirmar antes de una campaña grande.</t>
        </is>
      </c>
    </row>
    <row r="18">
      <c r="B18" s="19" t="inlineStr"/>
    </row>
    <row r="19">
      <c r="B19" s="22" t="inlineStr">
        <is>
          <t>Hallazgo importante para tu prospección</t>
        </is>
      </c>
    </row>
    <row r="20">
      <c r="B20" s="19" t="inlineStr">
        <is>
          <t>Dentro de la M-30, la sanidad privada tiene web propia casi sin excepción. Tras un barrido a fondo: de 34 clínicas de fisioterapia verificadas, solo 4 carecen de web propia (un 12%), y una quinta (Fisio Tirso) usa un subdominio gratuito de Webnode. En dental, 4 sin web. El grueso del nicho sigue estando en la estética y la belleza de barrio: 46 de los 54 leads.</t>
        </is>
      </c>
    </row>
    <row r="21">
      <c r="B21" s="19" t="inlineStr"/>
    </row>
    <row r="22">
      <c r="B22" s="20" t="inlineStr">
        <is>
          <t>Cómo usar el fichero</t>
        </is>
      </c>
    </row>
    <row r="23">
      <c r="B23" s="19" t="inlineStr">
        <is>
          <t>• Hoja 'Leads sin web': los 50 contactos. Usa el filtro de la fila 1 para segmentar por distrito, categoría o fiabilidad.</t>
        </is>
      </c>
    </row>
    <row r="24">
      <c r="B24" s="19" t="inlineStr">
        <is>
          <t>• Hoja 'Descartados': los que ya tienen web, para no repetir trabajo.</t>
        </is>
      </c>
    </row>
    <row r="25">
      <c r="B25" s="19" t="inlineStr">
        <is>
          <t>• Hoja 'Web muy básica': dos negocios que solo tienen un subdominio gratuito de Wix o Webnode. Suelen ser los más fáciles de convertir.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2026-09-10T18:26:11Z</dcterms:created>
  <dcterms:modified xsi:type="dcterms:W3CDTF">2026-09-10T18:26:11Z</dcterms:modified>
</cp:coreProperties>
</file>